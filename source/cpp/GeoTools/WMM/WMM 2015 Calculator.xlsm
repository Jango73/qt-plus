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0490" windowHeight="7605" activeTab="3"/>
  </bookViews>
  <sheets>
    <sheet name="Magnetic Field Calculator" sheetId="1" r:id="rId1"/>
    <sheet name="Coordinate Converter" sheetId="2" r:id="rId2"/>
    <sheet name="WMM2015 Calculations" sheetId="7" r:id="rId3"/>
    <sheet name="Compute" sheetId="8" r:id="rId4"/>
  </sheets>
  <definedNames>
    <definedName name="_xlnm.Print_Area" localSheetId="0">'Magnetic Field Calculator'!$A$1:$J$21</definedName>
  </definedNames>
  <calcPr calcId="125725" iterate="1"/>
</workbook>
</file>

<file path=xl/calcChain.xml><?xml version="1.0" encoding="utf-8"?>
<calcChain xmlns="http://schemas.openxmlformats.org/spreadsheetml/2006/main">
  <c r="C26" i="7"/>
  <c r="I16" i="1"/>
  <c r="G16"/>
  <c r="F16"/>
  <c r="E16"/>
  <c r="D16"/>
  <c r="C16"/>
  <c r="C8"/>
  <c r="C9"/>
  <c r="G8"/>
  <c r="H8"/>
  <c r="I8"/>
  <c r="B20" i="2" l="1"/>
  <c r="G10"/>
  <c r="M10" s="1"/>
  <c r="H10"/>
  <c r="P10" s="1"/>
  <c r="N10" l="1"/>
  <c r="O10"/>
  <c r="L10"/>
  <c r="K10"/>
  <c r="J10"/>
  <c r="Q10" s="1"/>
  <c r="T10" l="1"/>
  <c r="S10"/>
  <c r="B19" l="1"/>
  <c r="C14" i="7"/>
  <c r="C28"/>
  <c r="C27" l="1"/>
  <c r="C6"/>
  <c r="C4" s="1"/>
  <c r="C29" l="1"/>
  <c r="M88" s="1"/>
  <c r="C7"/>
  <c r="O14" i="2"/>
  <c r="N14"/>
  <c r="K14"/>
  <c r="P9"/>
  <c r="O9"/>
  <c r="N9"/>
  <c r="L9"/>
  <c r="K9"/>
  <c r="J14"/>
  <c r="J9"/>
  <c r="H20"/>
  <c r="T20" s="1"/>
  <c r="H15"/>
  <c r="G20"/>
  <c r="S20" s="1"/>
  <c r="G15"/>
  <c r="K15" s="1"/>
  <c r="Q4"/>
  <c r="P4"/>
  <c r="O4"/>
  <c r="N4"/>
  <c r="J4"/>
  <c r="M4"/>
  <c r="L4"/>
  <c r="K4"/>
  <c r="H5"/>
  <c r="Q5" s="1"/>
  <c r="G5"/>
  <c r="M5" s="1"/>
  <c r="E4"/>
  <c r="D4"/>
  <c r="D2" s="1"/>
  <c r="L66" i="7" l="1"/>
  <c r="L24"/>
  <c r="L69"/>
  <c r="L27"/>
  <c r="M39"/>
  <c r="M77"/>
  <c r="L56"/>
  <c r="L12"/>
  <c r="L59"/>
  <c r="L17"/>
  <c r="M6"/>
  <c r="M21"/>
  <c r="L88"/>
  <c r="L44"/>
  <c r="L91"/>
  <c r="L49"/>
  <c r="M91"/>
  <c r="M58"/>
  <c r="M52"/>
  <c r="L76"/>
  <c r="L34"/>
  <c r="L81"/>
  <c r="L37"/>
  <c r="M63"/>
  <c r="M26"/>
  <c r="L84"/>
  <c r="L74"/>
  <c r="L64"/>
  <c r="L52"/>
  <c r="L42"/>
  <c r="L32"/>
  <c r="L20"/>
  <c r="L10"/>
  <c r="L89"/>
  <c r="L77"/>
  <c r="L67"/>
  <c r="L57"/>
  <c r="L45"/>
  <c r="L35"/>
  <c r="L25"/>
  <c r="L13"/>
  <c r="M87"/>
  <c r="M59"/>
  <c r="M27"/>
  <c r="M90"/>
  <c r="M54"/>
  <c r="M10"/>
  <c r="M61"/>
  <c r="M17"/>
  <c r="M64"/>
  <c r="L92"/>
  <c r="L82"/>
  <c r="L72"/>
  <c r="L60"/>
  <c r="L50"/>
  <c r="L40"/>
  <c r="L28"/>
  <c r="L18"/>
  <c r="M7"/>
  <c r="L85"/>
  <c r="L75"/>
  <c r="L65"/>
  <c r="L53"/>
  <c r="L43"/>
  <c r="L33"/>
  <c r="L21"/>
  <c r="L11"/>
  <c r="M79"/>
  <c r="M47"/>
  <c r="M23"/>
  <c r="M82"/>
  <c r="M38"/>
  <c r="M4"/>
  <c r="M53"/>
  <c r="M40"/>
  <c r="M44"/>
  <c r="L90"/>
  <c r="L80"/>
  <c r="L68"/>
  <c r="L58"/>
  <c r="L48"/>
  <c r="L36"/>
  <c r="L26"/>
  <c r="L16"/>
  <c r="L93"/>
  <c r="L83"/>
  <c r="L73"/>
  <c r="L61"/>
  <c r="L51"/>
  <c r="L41"/>
  <c r="L29"/>
  <c r="L19"/>
  <c r="L9"/>
  <c r="M71"/>
  <c r="M43"/>
  <c r="M15"/>
  <c r="M70"/>
  <c r="M34"/>
  <c r="M85"/>
  <c r="M33"/>
  <c r="M8"/>
  <c r="M32"/>
  <c r="L5"/>
  <c r="M75"/>
  <c r="M55"/>
  <c r="M31"/>
  <c r="M11"/>
  <c r="M74"/>
  <c r="M50"/>
  <c r="M18"/>
  <c r="M81"/>
  <c r="M45"/>
  <c r="M56"/>
  <c r="M36"/>
  <c r="M60"/>
  <c r="M86"/>
  <c r="M66"/>
  <c r="M42"/>
  <c r="M22"/>
  <c r="M93"/>
  <c r="M65"/>
  <c r="M37"/>
  <c r="M13"/>
  <c r="M84"/>
  <c r="M92"/>
  <c r="M48"/>
  <c r="M69"/>
  <c r="M49"/>
  <c r="M29"/>
  <c r="M72"/>
  <c r="L4"/>
  <c r="M20"/>
  <c r="M76"/>
  <c r="M16"/>
  <c r="L8"/>
  <c r="L86"/>
  <c r="L78"/>
  <c r="L70"/>
  <c r="L62"/>
  <c r="L54"/>
  <c r="L46"/>
  <c r="L38"/>
  <c r="L30"/>
  <c r="L22"/>
  <c r="L14"/>
  <c r="L6"/>
  <c r="L87"/>
  <c r="L79"/>
  <c r="L71"/>
  <c r="L63"/>
  <c r="L55"/>
  <c r="L47"/>
  <c r="L39"/>
  <c r="L31"/>
  <c r="L23"/>
  <c r="L15"/>
  <c r="M5"/>
  <c r="M83"/>
  <c r="M67"/>
  <c r="M51"/>
  <c r="M35"/>
  <c r="M19"/>
  <c r="L7"/>
  <c r="M78"/>
  <c r="M62"/>
  <c r="M46"/>
  <c r="M30"/>
  <c r="M14"/>
  <c r="M89"/>
  <c r="M73"/>
  <c r="M57"/>
  <c r="M41"/>
  <c r="M25"/>
  <c r="M9"/>
  <c r="M24"/>
  <c r="M68"/>
  <c r="M80"/>
  <c r="M12"/>
  <c r="M28"/>
  <c r="C5" i="2"/>
  <c r="O15"/>
  <c r="N15"/>
  <c r="J15"/>
  <c r="S15" s="1"/>
  <c r="N5"/>
  <c r="P5"/>
  <c r="O5"/>
  <c r="J5"/>
  <c r="K5"/>
  <c r="L5"/>
  <c r="T5" l="1"/>
  <c r="T15"/>
  <c r="S5"/>
  <c r="B5"/>
  <c r="D5" l="1"/>
  <c r="E5"/>
  <c r="C10" i="7" l="1"/>
  <c r="C11" s="1"/>
  <c r="C20" s="1"/>
  <c r="C12"/>
  <c r="C13" l="1"/>
  <c r="C18" s="1"/>
  <c r="C22"/>
  <c r="C21"/>
  <c r="C19" l="1"/>
  <c r="C17" s="1"/>
  <c r="O5" l="1"/>
  <c r="P5" s="1"/>
  <c r="O23"/>
  <c r="P23" s="1"/>
  <c r="O8"/>
  <c r="P8" s="1"/>
  <c r="O17"/>
  <c r="P17" s="1"/>
  <c r="O38"/>
  <c r="P38" s="1"/>
  <c r="O57"/>
  <c r="P57" s="1"/>
  <c r="O80"/>
  <c r="P80" s="1"/>
  <c r="O93"/>
  <c r="P93" s="1"/>
  <c r="O12"/>
  <c r="P12" s="1"/>
  <c r="O4"/>
  <c r="P4" s="1"/>
  <c r="O30"/>
  <c r="P30" s="1"/>
  <c r="O47"/>
  <c r="P47" s="1"/>
  <c r="O68"/>
  <c r="P68" s="1"/>
  <c r="O56" l="1"/>
  <c r="P56" s="1"/>
  <c r="O7"/>
  <c r="O10" s="1"/>
  <c r="O46"/>
  <c r="P46" s="1"/>
  <c r="U46" s="1"/>
  <c r="O16"/>
  <c r="O11"/>
  <c r="O15" s="1"/>
  <c r="O67"/>
  <c r="O78" s="1"/>
  <c r="O6"/>
  <c r="P6" s="1"/>
  <c r="T6" s="1"/>
  <c r="O29"/>
  <c r="O36" s="1"/>
  <c r="O22"/>
  <c r="O37"/>
  <c r="P37" s="1"/>
  <c r="O92"/>
  <c r="O106"/>
  <c r="P106" s="1"/>
  <c r="Q93" s="1"/>
  <c r="S93" s="1"/>
  <c r="O79"/>
  <c r="X47"/>
  <c r="T47"/>
  <c r="U47"/>
  <c r="Y47"/>
  <c r="Y12"/>
  <c r="U12"/>
  <c r="T12"/>
  <c r="X12"/>
  <c r="T80"/>
  <c r="X80"/>
  <c r="Y80"/>
  <c r="U80"/>
  <c r="X38"/>
  <c r="Y38"/>
  <c r="T38"/>
  <c r="U38"/>
  <c r="X8"/>
  <c r="Y8"/>
  <c r="T8"/>
  <c r="U8"/>
  <c r="T5"/>
  <c r="X5"/>
  <c r="U5"/>
  <c r="Y5"/>
  <c r="T68"/>
  <c r="X68"/>
  <c r="Y68"/>
  <c r="U68"/>
  <c r="X30"/>
  <c r="T30"/>
  <c r="U30"/>
  <c r="Y30"/>
  <c r="X4"/>
  <c r="Y4"/>
  <c r="T4"/>
  <c r="U4"/>
  <c r="T93"/>
  <c r="U93"/>
  <c r="X93"/>
  <c r="Y93"/>
  <c r="U57"/>
  <c r="T57"/>
  <c r="X57"/>
  <c r="Y57"/>
  <c r="U17"/>
  <c r="T17"/>
  <c r="X17"/>
  <c r="Y17"/>
  <c r="T23"/>
  <c r="X23"/>
  <c r="U23"/>
  <c r="Y23"/>
  <c r="P7" l="1"/>
  <c r="X7" s="1"/>
  <c r="Q38"/>
  <c r="W38" s="1"/>
  <c r="O66"/>
  <c r="O77" s="1"/>
  <c r="Y46"/>
  <c r="X46"/>
  <c r="T46"/>
  <c r="P11"/>
  <c r="X11" s="1"/>
  <c r="Y6"/>
  <c r="O9"/>
  <c r="P9" s="1"/>
  <c r="O55"/>
  <c r="P55" s="1"/>
  <c r="X6"/>
  <c r="P67"/>
  <c r="T67" s="1"/>
  <c r="P16"/>
  <c r="O21"/>
  <c r="P29"/>
  <c r="T29" s="1"/>
  <c r="U6"/>
  <c r="Q4"/>
  <c r="W4" s="1"/>
  <c r="W93"/>
  <c r="P22"/>
  <c r="O28"/>
  <c r="O45"/>
  <c r="O54" s="1"/>
  <c r="P92"/>
  <c r="O105"/>
  <c r="P105" s="1"/>
  <c r="P79"/>
  <c r="O91"/>
  <c r="P15"/>
  <c r="O20"/>
  <c r="O90"/>
  <c r="P78"/>
  <c r="O14"/>
  <c r="P10"/>
  <c r="O44"/>
  <c r="P36"/>
  <c r="T56"/>
  <c r="Y56"/>
  <c r="Q47"/>
  <c r="X56"/>
  <c r="U56"/>
  <c r="U37"/>
  <c r="X37"/>
  <c r="Q30"/>
  <c r="T37"/>
  <c r="Y37"/>
  <c r="Y7" l="1"/>
  <c r="U7"/>
  <c r="T7"/>
  <c r="Q5"/>
  <c r="W5" s="1"/>
  <c r="S38"/>
  <c r="P66"/>
  <c r="T66" s="1"/>
  <c r="O13"/>
  <c r="P13" s="1"/>
  <c r="Q9" s="1"/>
  <c r="U67"/>
  <c r="U29"/>
  <c r="O65"/>
  <c r="O76" s="1"/>
  <c r="Y11"/>
  <c r="T11"/>
  <c r="X67"/>
  <c r="Q57"/>
  <c r="S57" s="1"/>
  <c r="Q8"/>
  <c r="S8" s="1"/>
  <c r="U11"/>
  <c r="Y29"/>
  <c r="Q11"/>
  <c r="W11" s="1"/>
  <c r="X29"/>
  <c r="Y67"/>
  <c r="Q23"/>
  <c r="W23" s="1"/>
  <c r="P21"/>
  <c r="O27"/>
  <c r="S4"/>
  <c r="Q12"/>
  <c r="Y16"/>
  <c r="T16"/>
  <c r="U16"/>
  <c r="X16"/>
  <c r="Q80"/>
  <c r="X92"/>
  <c r="Y92"/>
  <c r="T92"/>
  <c r="U92"/>
  <c r="P45"/>
  <c r="X45" s="1"/>
  <c r="O35"/>
  <c r="P28"/>
  <c r="Q92"/>
  <c r="T22"/>
  <c r="Q17"/>
  <c r="U22"/>
  <c r="X22"/>
  <c r="Y22"/>
  <c r="O104"/>
  <c r="P104" s="1"/>
  <c r="P91"/>
  <c r="Q68"/>
  <c r="T79"/>
  <c r="Y79"/>
  <c r="X79"/>
  <c r="U79"/>
  <c r="S47"/>
  <c r="W47"/>
  <c r="P44"/>
  <c r="O53"/>
  <c r="P14"/>
  <c r="Q10" s="1"/>
  <c r="O19"/>
  <c r="P90"/>
  <c r="O103"/>
  <c r="P103" s="1"/>
  <c r="P54"/>
  <c r="O64"/>
  <c r="P77"/>
  <c r="O89"/>
  <c r="U15"/>
  <c r="Y15"/>
  <c r="T15"/>
  <c r="X15"/>
  <c r="Q46"/>
  <c r="Y55"/>
  <c r="T55"/>
  <c r="U55"/>
  <c r="X55"/>
  <c r="S30"/>
  <c r="W30"/>
  <c r="T36"/>
  <c r="Y36"/>
  <c r="Q29"/>
  <c r="X36"/>
  <c r="U36"/>
  <c r="U10"/>
  <c r="X10"/>
  <c r="Y10"/>
  <c r="T10"/>
  <c r="Q7"/>
  <c r="T78"/>
  <c r="X78"/>
  <c r="Y78"/>
  <c r="U78"/>
  <c r="Q67"/>
  <c r="U9"/>
  <c r="Y9"/>
  <c r="Q6"/>
  <c r="T9"/>
  <c r="X9"/>
  <c r="P20"/>
  <c r="O26"/>
  <c r="S5" l="1"/>
  <c r="Q56"/>
  <c r="S56" s="1"/>
  <c r="Y66"/>
  <c r="X66"/>
  <c r="U66"/>
  <c r="O18"/>
  <c r="P18" s="1"/>
  <c r="S23"/>
  <c r="P65"/>
  <c r="X65" s="1"/>
  <c r="W57"/>
  <c r="W8"/>
  <c r="S11"/>
  <c r="T21"/>
  <c r="X21"/>
  <c r="Y21"/>
  <c r="U21"/>
  <c r="Q16"/>
  <c r="S12"/>
  <c r="W12"/>
  <c r="Q37"/>
  <c r="W37" s="1"/>
  <c r="O34"/>
  <c r="P27"/>
  <c r="Q21" s="1"/>
  <c r="S21" s="1"/>
  <c r="T45"/>
  <c r="Y45"/>
  <c r="U45"/>
  <c r="S17"/>
  <c r="W17"/>
  <c r="O43"/>
  <c r="P35"/>
  <c r="S92"/>
  <c r="W92"/>
  <c r="U28"/>
  <c r="Y28"/>
  <c r="X28"/>
  <c r="T28"/>
  <c r="Q22"/>
  <c r="W80"/>
  <c r="S80"/>
  <c r="U91"/>
  <c r="Q91"/>
  <c r="Y91"/>
  <c r="T91"/>
  <c r="Q79"/>
  <c r="X91"/>
  <c r="W68"/>
  <c r="S68"/>
  <c r="O88"/>
  <c r="P76"/>
  <c r="X20"/>
  <c r="Y20"/>
  <c r="T20"/>
  <c r="U20"/>
  <c r="S9"/>
  <c r="W9"/>
  <c r="S7"/>
  <c r="W7"/>
  <c r="W46"/>
  <c r="S46"/>
  <c r="O102"/>
  <c r="P102" s="1"/>
  <c r="P89"/>
  <c r="U13"/>
  <c r="Y13"/>
  <c r="T13"/>
  <c r="X13"/>
  <c r="P64"/>
  <c r="O75"/>
  <c r="P19"/>
  <c r="O25"/>
  <c r="P53"/>
  <c r="O63"/>
  <c r="O33"/>
  <c r="P26"/>
  <c r="S6"/>
  <c r="W6"/>
  <c r="S67"/>
  <c r="W67"/>
  <c r="W10"/>
  <c r="S10"/>
  <c r="W29"/>
  <c r="S29"/>
  <c r="Q15"/>
  <c r="X77"/>
  <c r="T77"/>
  <c r="Q66"/>
  <c r="U77"/>
  <c r="Y77"/>
  <c r="Q45"/>
  <c r="X54"/>
  <c r="U54"/>
  <c r="T54"/>
  <c r="Y54"/>
  <c r="U90"/>
  <c r="T90"/>
  <c r="Q90"/>
  <c r="X90"/>
  <c r="Y90"/>
  <c r="Q78"/>
  <c r="Y14"/>
  <c r="U14"/>
  <c r="X14"/>
  <c r="T14"/>
  <c r="Q36"/>
  <c r="Y44"/>
  <c r="X44"/>
  <c r="U44"/>
  <c r="T44"/>
  <c r="W56" l="1"/>
  <c r="O24"/>
  <c r="P24" s="1"/>
  <c r="Y65"/>
  <c r="T65"/>
  <c r="Q55"/>
  <c r="S55" s="1"/>
  <c r="U65"/>
  <c r="S37"/>
  <c r="W16"/>
  <c r="S16"/>
  <c r="W21"/>
  <c r="X27"/>
  <c r="U27"/>
  <c r="Y27"/>
  <c r="T27"/>
  <c r="P34"/>
  <c r="O42"/>
  <c r="X35"/>
  <c r="T35"/>
  <c r="Q28"/>
  <c r="Y35"/>
  <c r="U35"/>
  <c r="S22"/>
  <c r="W22"/>
  <c r="P43"/>
  <c r="O52"/>
  <c r="W91"/>
  <c r="S91"/>
  <c r="W79"/>
  <c r="S79"/>
  <c r="S36"/>
  <c r="W36"/>
  <c r="S78"/>
  <c r="W78"/>
  <c r="S45"/>
  <c r="W45"/>
  <c r="Q13"/>
  <c r="X18"/>
  <c r="Y18"/>
  <c r="T18"/>
  <c r="U18"/>
  <c r="W15"/>
  <c r="S15"/>
  <c r="O41"/>
  <c r="P33"/>
  <c r="O74"/>
  <c r="P63"/>
  <c r="O32"/>
  <c r="P25"/>
  <c r="Q19" s="1"/>
  <c r="O87"/>
  <c r="P75"/>
  <c r="Q64" s="1"/>
  <c r="T89"/>
  <c r="U89"/>
  <c r="Q77"/>
  <c r="Y89"/>
  <c r="X89"/>
  <c r="Q89"/>
  <c r="Q65"/>
  <c r="X76"/>
  <c r="U76"/>
  <c r="T76"/>
  <c r="Y76"/>
  <c r="W90"/>
  <c r="S90"/>
  <c r="W66"/>
  <c r="S66"/>
  <c r="T26"/>
  <c r="U26"/>
  <c r="X26"/>
  <c r="Y26"/>
  <c r="Q20"/>
  <c r="U53"/>
  <c r="X53"/>
  <c r="Q44"/>
  <c r="T53"/>
  <c r="Y53"/>
  <c r="Q14"/>
  <c r="T19"/>
  <c r="Y19"/>
  <c r="U19"/>
  <c r="X19"/>
  <c r="X64"/>
  <c r="U64"/>
  <c r="T64"/>
  <c r="Y64"/>
  <c r="Q54"/>
  <c r="P88"/>
  <c r="O101"/>
  <c r="P101" s="1"/>
  <c r="W55" l="1"/>
  <c r="O31"/>
  <c r="O39" s="1"/>
  <c r="T34"/>
  <c r="U34"/>
  <c r="X34"/>
  <c r="Y34"/>
  <c r="Q27"/>
  <c r="P42"/>
  <c r="Q34" s="1"/>
  <c r="W34" s="1"/>
  <c r="O51"/>
  <c r="P52"/>
  <c r="O62"/>
  <c r="Y43"/>
  <c r="X43"/>
  <c r="Q35"/>
  <c r="U43"/>
  <c r="T43"/>
  <c r="S28"/>
  <c r="W28"/>
  <c r="W64"/>
  <c r="S64"/>
  <c r="W14"/>
  <c r="S14"/>
  <c r="S20"/>
  <c r="W20"/>
  <c r="Q18"/>
  <c r="X24"/>
  <c r="Y24"/>
  <c r="U24"/>
  <c r="T24"/>
  <c r="S89"/>
  <c r="W89"/>
  <c r="X75"/>
  <c r="U75"/>
  <c r="T75"/>
  <c r="Y75"/>
  <c r="Y25"/>
  <c r="T25"/>
  <c r="U25"/>
  <c r="X25"/>
  <c r="Q53"/>
  <c r="X63"/>
  <c r="U63"/>
  <c r="T63"/>
  <c r="Y63"/>
  <c r="O50"/>
  <c r="P41"/>
  <c r="Q76"/>
  <c r="U88"/>
  <c r="Y88"/>
  <c r="T88"/>
  <c r="Q88"/>
  <c r="X88"/>
  <c r="S54"/>
  <c r="W54"/>
  <c r="S19"/>
  <c r="W19"/>
  <c r="S44"/>
  <c r="W44"/>
  <c r="S65"/>
  <c r="W65"/>
  <c r="S77"/>
  <c r="W77"/>
  <c r="P87"/>
  <c r="O100"/>
  <c r="P100" s="1"/>
  <c r="O40"/>
  <c r="P32"/>
  <c r="Q25" s="1"/>
  <c r="O86"/>
  <c r="P74"/>
  <c r="Q63" s="1"/>
  <c r="U33"/>
  <c r="T33"/>
  <c r="Q26"/>
  <c r="X33"/>
  <c r="Y33"/>
  <c r="W13"/>
  <c r="S13"/>
  <c r="P31" l="1"/>
  <c r="U31" s="1"/>
  <c r="O61"/>
  <c r="P51"/>
  <c r="Q42" s="1"/>
  <c r="S42" s="1"/>
  <c r="S34"/>
  <c r="Y42"/>
  <c r="U42"/>
  <c r="T42"/>
  <c r="X42"/>
  <c r="S27"/>
  <c r="W27"/>
  <c r="O73"/>
  <c r="P62"/>
  <c r="W35"/>
  <c r="S35"/>
  <c r="U52"/>
  <c r="Q43"/>
  <c r="Y52"/>
  <c r="X52"/>
  <c r="T52"/>
  <c r="W63"/>
  <c r="S63"/>
  <c r="S25"/>
  <c r="W25"/>
  <c r="W26"/>
  <c r="S26"/>
  <c r="P86"/>
  <c r="Q74" s="1"/>
  <c r="O99"/>
  <c r="P99" s="1"/>
  <c r="O49"/>
  <c r="P40"/>
  <c r="Q32" s="1"/>
  <c r="X87"/>
  <c r="U87"/>
  <c r="Q87"/>
  <c r="Y87"/>
  <c r="T87"/>
  <c r="P39"/>
  <c r="O48"/>
  <c r="S88"/>
  <c r="W88"/>
  <c r="S76"/>
  <c r="W76"/>
  <c r="P50"/>
  <c r="O60"/>
  <c r="Q75"/>
  <c r="W18"/>
  <c r="S18"/>
  <c r="Y74"/>
  <c r="T74"/>
  <c r="U74"/>
  <c r="X74"/>
  <c r="Y32"/>
  <c r="X32"/>
  <c r="U32"/>
  <c r="T32"/>
  <c r="U41"/>
  <c r="X41"/>
  <c r="Y41"/>
  <c r="T41"/>
  <c r="Q33"/>
  <c r="S53"/>
  <c r="W53"/>
  <c r="Q24"/>
  <c r="Y31" l="1"/>
  <c r="X31"/>
  <c r="T31"/>
  <c r="W42"/>
  <c r="P61"/>
  <c r="O72"/>
  <c r="T51"/>
  <c r="X51"/>
  <c r="U51"/>
  <c r="Y51"/>
  <c r="S43"/>
  <c r="W43"/>
  <c r="Q52"/>
  <c r="X62"/>
  <c r="Y62"/>
  <c r="T62"/>
  <c r="U62"/>
  <c r="P73"/>
  <c r="Q62" s="1"/>
  <c r="O85"/>
  <c r="W24"/>
  <c r="S24"/>
  <c r="S33"/>
  <c r="W33"/>
  <c r="W32"/>
  <c r="S32"/>
  <c r="W75"/>
  <c r="S75"/>
  <c r="Q41"/>
  <c r="U50"/>
  <c r="T50"/>
  <c r="Y50"/>
  <c r="X50"/>
  <c r="Q31"/>
  <c r="X39"/>
  <c r="Y39"/>
  <c r="T39"/>
  <c r="U39"/>
  <c r="U40"/>
  <c r="X40"/>
  <c r="Y40"/>
  <c r="T40"/>
  <c r="S74"/>
  <c r="W74"/>
  <c r="O71"/>
  <c r="P60"/>
  <c r="P48"/>
  <c r="O58"/>
  <c r="W87"/>
  <c r="S87"/>
  <c r="O59"/>
  <c r="P49"/>
  <c r="T86"/>
  <c r="Q86"/>
  <c r="X86"/>
  <c r="U86"/>
  <c r="Y86"/>
  <c r="U61" l="1"/>
  <c r="T61"/>
  <c r="X61"/>
  <c r="Y61"/>
  <c r="Q51"/>
  <c r="P72"/>
  <c r="O84"/>
  <c r="S62"/>
  <c r="W62"/>
  <c r="O98"/>
  <c r="P98" s="1"/>
  <c r="P85"/>
  <c r="X73"/>
  <c r="Y73"/>
  <c r="T73"/>
  <c r="U73"/>
  <c r="W52"/>
  <c r="S52"/>
  <c r="O70"/>
  <c r="P59"/>
  <c r="T48"/>
  <c r="X48"/>
  <c r="Y48"/>
  <c r="U48"/>
  <c r="T60"/>
  <c r="Y60"/>
  <c r="U60"/>
  <c r="X60"/>
  <c r="Q39"/>
  <c r="Q50"/>
  <c r="W86"/>
  <c r="S86"/>
  <c r="X49"/>
  <c r="U49"/>
  <c r="Q40"/>
  <c r="T49"/>
  <c r="Y49"/>
  <c r="O69"/>
  <c r="P58"/>
  <c r="P71"/>
  <c r="O83"/>
  <c r="W31"/>
  <c r="S31"/>
  <c r="S41"/>
  <c r="W41"/>
  <c r="O97" l="1"/>
  <c r="P97" s="1"/>
  <c r="P84"/>
  <c r="T72"/>
  <c r="X72"/>
  <c r="Y72"/>
  <c r="U72"/>
  <c r="S51"/>
  <c r="W51"/>
  <c r="Q61"/>
  <c r="Q85"/>
  <c r="Y85"/>
  <c r="X85"/>
  <c r="T85"/>
  <c r="U85"/>
  <c r="Q73"/>
  <c r="O96"/>
  <c r="P96" s="1"/>
  <c r="P83"/>
  <c r="Q71" s="1"/>
  <c r="T58"/>
  <c r="X58"/>
  <c r="U58"/>
  <c r="Y58"/>
  <c r="W40"/>
  <c r="S40"/>
  <c r="W39"/>
  <c r="S39"/>
  <c r="U59"/>
  <c r="X59"/>
  <c r="Q49"/>
  <c r="Y59"/>
  <c r="T59"/>
  <c r="Q60"/>
  <c r="X71"/>
  <c r="T71"/>
  <c r="U71"/>
  <c r="Y71"/>
  <c r="P69"/>
  <c r="O81"/>
  <c r="S50"/>
  <c r="W50"/>
  <c r="Q48"/>
  <c r="P70"/>
  <c r="O82"/>
  <c r="W61" l="1"/>
  <c r="S61"/>
  <c r="Q72"/>
  <c r="Y84"/>
  <c r="Q84"/>
  <c r="X84"/>
  <c r="U84"/>
  <c r="T84"/>
  <c r="S73"/>
  <c r="W73"/>
  <c r="W85"/>
  <c r="S85"/>
  <c r="U70"/>
  <c r="X70"/>
  <c r="Y70"/>
  <c r="T70"/>
  <c r="Q59"/>
  <c r="O94"/>
  <c r="P94" s="1"/>
  <c r="P81"/>
  <c r="S49"/>
  <c r="W49"/>
  <c r="X83"/>
  <c r="Y83"/>
  <c r="U83"/>
  <c r="Q83"/>
  <c r="T83"/>
  <c r="O95"/>
  <c r="P95" s="1"/>
  <c r="P82"/>
  <c r="S48"/>
  <c r="W48"/>
  <c r="U69"/>
  <c r="Y69"/>
  <c r="X69"/>
  <c r="T69"/>
  <c r="S71"/>
  <c r="W71"/>
  <c r="S60"/>
  <c r="W60"/>
  <c r="Q58"/>
  <c r="W84" l="1"/>
  <c r="S84"/>
  <c r="W72"/>
  <c r="S72"/>
  <c r="X82"/>
  <c r="U82"/>
  <c r="Q70"/>
  <c r="Y82"/>
  <c r="T82"/>
  <c r="Q82"/>
  <c r="S58"/>
  <c r="W58"/>
  <c r="W83"/>
  <c r="S83"/>
  <c r="Q69"/>
  <c r="U81"/>
  <c r="Y81"/>
  <c r="Q81"/>
  <c r="X81"/>
  <c r="T81"/>
  <c r="S59"/>
  <c r="W59"/>
  <c r="W81" l="1"/>
  <c r="S81"/>
  <c r="S82"/>
  <c r="W82"/>
  <c r="Y94"/>
  <c r="U94"/>
  <c r="W69"/>
  <c r="S69"/>
  <c r="T94"/>
  <c r="C33" s="1"/>
  <c r="F14" i="1" s="1"/>
  <c r="S70" i="7"/>
  <c r="W70"/>
  <c r="X94"/>
  <c r="C45" s="1"/>
  <c r="F15" i="1" s="1"/>
  <c r="W94" i="7" l="1"/>
  <c r="C44" s="1"/>
  <c r="E15" i="1" s="1"/>
  <c r="S94" i="7"/>
  <c r="C32" l="1"/>
  <c r="C35" s="1"/>
  <c r="C61" s="1"/>
  <c r="C46"/>
  <c r="G15" i="1" s="1"/>
  <c r="C34" i="7"/>
  <c r="G14" i="1" s="1"/>
  <c r="E14" l="1"/>
  <c r="C39" i="7"/>
  <c r="C40" s="1"/>
  <c r="H14" i="1" s="1"/>
  <c r="H16"/>
  <c r="D14"/>
  <c r="C36" i="7"/>
  <c r="C47"/>
  <c r="C37"/>
  <c r="C38" s="1"/>
  <c r="I14" i="1" s="1"/>
  <c r="C51" i="7"/>
  <c r="D15" i="1" l="1"/>
  <c r="C52" i="7"/>
  <c r="H15" i="1" s="1"/>
  <c r="C41" i="7"/>
  <c r="C48"/>
  <c r="C14" i="1"/>
  <c r="C49" i="7"/>
  <c r="C15" i="1" l="1"/>
  <c r="C50" i="7"/>
  <c r="I15" i="1" l="1"/>
</calcChain>
</file>

<file path=xl/sharedStrings.xml><?xml version="1.0" encoding="utf-8"?>
<sst xmlns="http://schemas.openxmlformats.org/spreadsheetml/2006/main" count="228" uniqueCount="121">
  <si>
    <t>Latitude</t>
  </si>
  <si>
    <t>Longitude</t>
  </si>
  <si>
    <t>H DD MM.MMM</t>
  </si>
  <si>
    <t>H DDD MM.MMM</t>
  </si>
  <si>
    <t>Data Entry Mode:</t>
  </si>
  <si>
    <t>(-)DD.DDDDD</t>
  </si>
  <si>
    <t>H DD.DDDDD</t>
  </si>
  <si>
    <t>H DD MM SS</t>
  </si>
  <si>
    <t>INPUT</t>
  </si>
  <si>
    <t>CALCULATE!</t>
  </si>
  <si>
    <t>Input (W)</t>
  </si>
  <si>
    <t>H DDD MM SS</t>
  </si>
  <si>
    <t>Input (X)</t>
  </si>
  <si>
    <t>Input (Y)</t>
  </si>
  <si>
    <t>H DDD.DDDDD</t>
  </si>
  <si>
    <t>Input (Z)</t>
  </si>
  <si>
    <t>(-)DDD.DDDDD</t>
  </si>
  <si>
    <t>Output (W)</t>
  </si>
  <si>
    <t>Output (X)</t>
  </si>
  <si>
    <t>Output (Z)</t>
  </si>
  <si>
    <t>Output (Y)</t>
  </si>
  <si>
    <t>WGS84 Ellipsoid (meters)</t>
  </si>
  <si>
    <r>
      <t>(1/</t>
    </r>
    <r>
      <rPr>
        <b/>
        <i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>)</t>
    </r>
  </si>
  <si>
    <r>
      <t>Flattening (</t>
    </r>
    <r>
      <rPr>
        <b/>
        <i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>)</t>
    </r>
  </si>
  <si>
    <t>-</t>
  </si>
  <si>
    <r>
      <t>Year (</t>
    </r>
    <r>
      <rPr>
        <b/>
        <i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)</t>
    </r>
  </si>
  <si>
    <r>
      <t>Degree (</t>
    </r>
    <r>
      <rPr>
        <b/>
        <i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</si>
  <si>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Order (</t>
    </r>
    <r>
      <rPr>
        <b/>
        <i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)</t>
    </r>
  </si>
  <si>
    <r>
      <t>g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(t</t>
    </r>
    <r>
      <rPr>
        <b/>
        <i/>
        <vertAlign val="subscript"/>
        <sz val="11"/>
        <color theme="1"/>
        <rFont val="Calibri"/>
        <family val="2"/>
        <scheme val="minor"/>
      </rPr>
      <t>0</t>
    </r>
    <r>
      <rPr>
        <b/>
        <i/>
        <sz val="11"/>
        <color theme="1"/>
        <rFont val="Calibri"/>
        <family val="2"/>
        <scheme val="minor"/>
      </rPr>
      <t>)</t>
    </r>
  </si>
  <si>
    <r>
      <t>h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(t</t>
    </r>
    <r>
      <rPr>
        <b/>
        <i/>
        <vertAlign val="subscript"/>
        <sz val="11"/>
        <color theme="1"/>
        <rFont val="Calibri"/>
        <family val="2"/>
        <scheme val="minor"/>
      </rPr>
      <t>0</t>
    </r>
    <r>
      <rPr>
        <b/>
        <i/>
        <sz val="11"/>
        <color theme="1"/>
        <rFont val="Calibri"/>
        <family val="2"/>
        <scheme val="minor"/>
      </rPr>
      <t>)</t>
    </r>
  </si>
  <si>
    <r>
      <t>g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(t</t>
    </r>
    <r>
      <rPr>
        <b/>
        <i/>
        <sz val="11"/>
        <color theme="1"/>
        <rFont val="Calibri"/>
        <family val="2"/>
        <scheme val="minor"/>
      </rPr>
      <t>)</t>
    </r>
  </si>
  <si>
    <r>
      <t>h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(t</t>
    </r>
    <r>
      <rPr>
        <b/>
        <i/>
        <sz val="11"/>
        <color theme="1"/>
        <rFont val="Calibri"/>
        <family val="2"/>
        <scheme val="minor"/>
      </rPr>
      <t>)</t>
    </r>
  </si>
  <si>
    <r>
      <t>ġ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(t</t>
    </r>
    <r>
      <rPr>
        <b/>
        <i/>
        <vertAlign val="subscript"/>
        <sz val="11"/>
        <color theme="1"/>
        <rFont val="Calibri"/>
        <family val="2"/>
        <scheme val="minor"/>
      </rPr>
      <t>0</t>
    </r>
    <r>
      <rPr>
        <b/>
        <i/>
        <sz val="11"/>
        <color theme="1"/>
        <rFont val="Calibri"/>
        <family val="2"/>
        <scheme val="minor"/>
      </rPr>
      <t>)</t>
    </r>
  </si>
  <si>
    <r>
      <t>ḣ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(t</t>
    </r>
    <r>
      <rPr>
        <b/>
        <i/>
        <vertAlign val="subscript"/>
        <sz val="11"/>
        <color theme="1"/>
        <rFont val="Calibri"/>
        <family val="2"/>
        <scheme val="minor"/>
      </rPr>
      <t>0</t>
    </r>
    <r>
      <rPr>
        <b/>
        <i/>
        <sz val="11"/>
        <color theme="1"/>
        <rFont val="Calibri"/>
        <family val="2"/>
        <scheme val="minor"/>
      </rPr>
      <t>)</t>
    </r>
  </si>
  <si>
    <r>
      <t>P</t>
    </r>
    <r>
      <rPr>
        <b/>
        <i/>
        <vertAlign val="subscript"/>
        <sz val="11"/>
        <color theme="1"/>
        <rFont val="Calibri"/>
        <family val="2"/>
        <scheme val="minor"/>
      </rPr>
      <t>n,m</t>
    </r>
    <r>
      <rPr>
        <b/>
        <i/>
        <sz val="11"/>
        <color theme="1"/>
        <rFont val="Calibri"/>
        <family val="2"/>
        <scheme val="minor"/>
      </rPr>
      <t>(sin ϕ')</t>
    </r>
  </si>
  <si>
    <r>
      <rPr>
        <b/>
        <i/>
        <sz val="11"/>
        <color theme="1"/>
        <rFont val="Calibri"/>
        <family val="2"/>
      </rPr>
      <t>Ṕ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(sin ϕ')</t>
    </r>
  </si>
  <si>
    <r>
      <rPr>
        <b/>
        <sz val="11"/>
        <color theme="1"/>
        <rFont val="Calibri"/>
        <family val="2"/>
        <scheme val="minor"/>
      </rPr>
      <t xml:space="preserve">Radius </t>
    </r>
    <r>
      <rPr>
        <b/>
        <i/>
        <sz val="11"/>
        <color theme="1"/>
        <rFont val="Calibri"/>
        <family val="2"/>
        <scheme val="minor"/>
      </rPr>
      <t xml:space="preserve">(r) </t>
    </r>
    <r>
      <rPr>
        <b/>
        <sz val="11"/>
        <color theme="1"/>
        <rFont val="Calibri"/>
        <family val="2"/>
        <scheme val="minor"/>
      </rPr>
      <t>(m)</t>
    </r>
  </si>
  <si>
    <t>meters</t>
  </si>
  <si>
    <t>Today:</t>
  </si>
  <si>
    <t>User Input:</t>
  </si>
  <si>
    <r>
      <rPr>
        <b/>
        <sz val="11"/>
        <color theme="1"/>
        <rFont val="Calibri"/>
        <family val="2"/>
        <scheme val="minor"/>
      </rPr>
      <t xml:space="preserve">Inclination: </t>
    </r>
    <r>
      <rPr>
        <b/>
        <i/>
        <sz val="11"/>
        <color theme="1"/>
        <rFont val="Calibri"/>
        <family val="2"/>
        <scheme val="minor"/>
      </rPr>
      <t xml:space="preserve">I </t>
    </r>
    <r>
      <rPr>
        <b/>
        <sz val="11"/>
        <color theme="1"/>
        <rFont val="Calibri"/>
        <family val="2"/>
        <scheme val="minor"/>
      </rPr>
      <t>(rad)</t>
    </r>
  </si>
  <si>
    <r>
      <rPr>
        <b/>
        <sz val="11"/>
        <color theme="1"/>
        <rFont val="Calibri"/>
        <family val="2"/>
        <scheme val="minor"/>
      </rPr>
      <t xml:space="preserve">Inclination: </t>
    </r>
    <r>
      <rPr>
        <b/>
        <i/>
        <sz val="11"/>
        <color theme="1"/>
        <rFont val="Calibri"/>
        <family val="2"/>
        <scheme val="minor"/>
      </rPr>
      <t xml:space="preserve">I </t>
    </r>
    <r>
      <rPr>
        <b/>
        <sz val="11"/>
        <color theme="1"/>
        <rFont val="Calibri"/>
        <family val="2"/>
        <scheme val="minor"/>
      </rPr>
      <t>(deg)</t>
    </r>
  </si>
  <si>
    <r>
      <rPr>
        <b/>
        <sz val="11"/>
        <color theme="1"/>
        <rFont val="Calibri"/>
        <family val="2"/>
        <scheme val="minor"/>
      </rPr>
      <t>Grid Variation:</t>
    </r>
    <r>
      <rPr>
        <b/>
        <i/>
        <sz val="11"/>
        <color theme="1"/>
        <rFont val="Calibri"/>
        <family val="2"/>
        <scheme val="minor"/>
      </rPr>
      <t xml:space="preserve"> GV </t>
    </r>
    <r>
      <rPr>
        <b/>
        <sz val="11"/>
        <color theme="1"/>
        <rFont val="Calibri"/>
        <family val="2"/>
        <scheme val="minor"/>
      </rPr>
      <t>(deg)</t>
    </r>
  </si>
  <si>
    <r>
      <rPr>
        <b/>
        <sz val="11"/>
        <color theme="1"/>
        <rFont val="Calibri"/>
        <family val="2"/>
        <scheme val="minor"/>
      </rPr>
      <t>Total Intensity:</t>
    </r>
    <r>
      <rPr>
        <b/>
        <i/>
        <sz val="11"/>
        <color theme="1"/>
        <rFont val="Calibri"/>
        <family val="2"/>
        <scheme val="minor"/>
      </rPr>
      <t xml:space="preserve"> F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</si>
  <si>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 xml:space="preserve">Horizontal Intensity: </t>
    </r>
    <r>
      <rPr>
        <b/>
        <i/>
        <sz val="11"/>
        <color theme="1"/>
        <rFont val="Calibri"/>
        <family val="2"/>
        <scheme val="minor"/>
      </rPr>
      <t xml:space="preserve">H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</si>
  <si>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East Component:</t>
    </r>
    <r>
      <rPr>
        <b/>
        <i/>
        <sz val="11"/>
        <color theme="1"/>
        <rFont val="Calibri"/>
        <family val="2"/>
        <scheme val="minor"/>
      </rPr>
      <t xml:space="preserve"> Y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</si>
  <si>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North Component:</t>
    </r>
    <r>
      <rPr>
        <b/>
        <i/>
        <sz val="11"/>
        <color theme="1"/>
        <rFont val="Calibri"/>
        <family val="2"/>
        <scheme val="minor"/>
      </rPr>
      <t xml:space="preserve"> X </t>
    </r>
    <r>
      <rPr>
        <b/>
        <sz val="11"/>
        <color theme="1"/>
        <rFont val="Calibri"/>
        <family val="2"/>
        <scheme val="minor"/>
      </rPr>
      <t>(nT)</t>
    </r>
  </si>
  <si>
    <t>Day</t>
  </si>
  <si>
    <t>Month</t>
  </si>
  <si>
    <t>Year</t>
  </si>
  <si>
    <r>
      <rPr>
        <b/>
        <sz val="11"/>
        <color theme="1"/>
        <rFont val="Calibri"/>
        <family val="2"/>
        <scheme val="minor"/>
      </rPr>
      <t>Declination:</t>
    </r>
    <r>
      <rPr>
        <b/>
        <i/>
        <sz val="11"/>
        <color theme="1"/>
        <rFont val="Calibri"/>
        <family val="2"/>
        <scheme val="minor"/>
      </rPr>
      <t xml:space="preserve"> D </t>
    </r>
    <r>
      <rPr>
        <b/>
        <sz val="11"/>
        <color theme="1"/>
        <rFont val="Calibri"/>
        <family val="2"/>
        <scheme val="minor"/>
      </rPr>
      <t>(rad)</t>
    </r>
  </si>
  <si>
    <r>
      <rPr>
        <b/>
        <sz val="11"/>
        <color theme="1"/>
        <rFont val="Calibri"/>
        <family val="2"/>
        <scheme val="minor"/>
      </rPr>
      <t xml:space="preserve">Declination: </t>
    </r>
    <r>
      <rPr>
        <b/>
        <i/>
        <sz val="11"/>
        <color theme="1"/>
        <rFont val="Calibri"/>
        <family val="2"/>
        <scheme val="minor"/>
      </rPr>
      <t xml:space="preserve">D </t>
    </r>
    <r>
      <rPr>
        <b/>
        <sz val="11"/>
        <color theme="1"/>
        <rFont val="Calibri"/>
        <family val="2"/>
        <scheme val="minor"/>
      </rPr>
      <t>(deg)</t>
    </r>
  </si>
  <si>
    <r>
      <rPr>
        <b/>
        <sz val="11"/>
        <color theme="1"/>
        <rFont val="Calibri"/>
        <family val="2"/>
        <scheme val="minor"/>
      </rPr>
      <t>Eccentricity Squared (</t>
    </r>
    <r>
      <rPr>
        <b/>
        <i/>
        <sz val="11"/>
        <color theme="1"/>
        <rFont val="Calibri"/>
        <family val="2"/>
        <scheme val="minor"/>
      </rPr>
      <t>e</t>
    </r>
    <r>
      <rPr>
        <b/>
        <i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</si>
  <si>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Radius of Curvature (</t>
    </r>
    <r>
      <rPr>
        <b/>
        <i/>
        <sz val="11"/>
        <color theme="1"/>
        <rFont val="Calibri"/>
        <family val="2"/>
        <scheme val="minor"/>
      </rPr>
      <t>R</t>
    </r>
    <r>
      <rPr>
        <b/>
        <i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</si>
  <si>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Down (Vertical) Component:</t>
    </r>
    <r>
      <rPr>
        <b/>
        <i/>
        <sz val="11"/>
        <color theme="1"/>
        <rFont val="Calibri"/>
        <family val="2"/>
        <scheme val="minor"/>
      </rPr>
      <t xml:space="preserve"> Z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</si>
  <si>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North Component:</t>
    </r>
    <r>
      <rPr>
        <b/>
        <i/>
        <sz val="11"/>
        <color theme="1"/>
        <rFont val="Calibri"/>
        <family val="2"/>
        <scheme val="minor"/>
      </rPr>
      <t xml:space="preserve"> Ẋ </t>
    </r>
    <r>
      <rPr>
        <b/>
        <sz val="11"/>
        <color theme="1"/>
        <rFont val="Calibri"/>
        <family val="2"/>
        <scheme val="minor"/>
      </rPr>
      <t>(nT/yr)</t>
    </r>
  </si>
  <si>
    <r>
      <rPr>
        <b/>
        <sz val="11"/>
        <color theme="1"/>
        <rFont val="Calibri"/>
        <family val="2"/>
        <scheme val="minor"/>
      </rPr>
      <t xml:space="preserve">East Component: </t>
    </r>
    <r>
      <rPr>
        <b/>
        <i/>
        <sz val="11"/>
        <color theme="1"/>
        <rFont val="Calibri"/>
        <family val="2"/>
        <scheme val="minor"/>
      </rPr>
      <t xml:space="preserve">Ẏ </t>
    </r>
    <r>
      <rPr>
        <b/>
        <sz val="11"/>
        <color theme="1"/>
        <rFont val="Calibri"/>
        <family val="2"/>
        <scheme val="minor"/>
      </rPr>
      <t>(nT/yr)</t>
    </r>
  </si>
  <si>
    <r>
      <rPr>
        <b/>
        <sz val="11"/>
        <color theme="1"/>
        <rFont val="Calibri"/>
        <family val="2"/>
        <scheme val="minor"/>
      </rPr>
      <t>Down (Vertical) Component:</t>
    </r>
    <r>
      <rPr>
        <b/>
        <i/>
        <sz val="11"/>
        <color theme="1"/>
        <rFont val="Calibri"/>
        <family val="2"/>
        <scheme val="minor"/>
      </rPr>
      <t xml:space="preserve"> Ż </t>
    </r>
    <r>
      <rPr>
        <b/>
        <sz val="11"/>
        <color theme="1"/>
        <rFont val="Calibri"/>
        <family val="2"/>
        <scheme val="minor"/>
      </rPr>
      <t>(nT/yr)</t>
    </r>
  </si>
  <si>
    <r>
      <rPr>
        <b/>
        <sz val="11"/>
        <color theme="1"/>
        <rFont val="Calibri"/>
        <family val="2"/>
        <scheme val="minor"/>
      </rPr>
      <t>Horizontal Intensity:</t>
    </r>
    <r>
      <rPr>
        <b/>
        <i/>
        <sz val="11"/>
        <color theme="1"/>
        <rFont val="Calibri"/>
        <family val="2"/>
        <scheme val="minor"/>
      </rPr>
      <t xml:space="preserve"> Ḣ </t>
    </r>
    <r>
      <rPr>
        <b/>
        <sz val="11"/>
        <color theme="1"/>
        <rFont val="Calibri"/>
        <family val="2"/>
        <scheme val="minor"/>
      </rPr>
      <t>(nT/yr)</t>
    </r>
  </si>
  <si>
    <r>
      <rPr>
        <b/>
        <sz val="11"/>
        <color theme="1"/>
        <rFont val="Calibri"/>
        <family val="2"/>
        <scheme val="minor"/>
      </rPr>
      <t>Total Intensity:</t>
    </r>
    <r>
      <rPr>
        <b/>
        <i/>
        <sz val="11"/>
        <color theme="1"/>
        <rFont val="Calibri"/>
        <family val="2"/>
        <scheme val="minor"/>
      </rPr>
      <t xml:space="preserve"> Ḟ </t>
    </r>
    <r>
      <rPr>
        <b/>
        <sz val="11"/>
        <color theme="1"/>
        <rFont val="Calibri"/>
        <family val="2"/>
        <scheme val="minor"/>
      </rPr>
      <t>(nT/yr)</t>
    </r>
  </si>
  <si>
    <r>
      <rPr>
        <b/>
        <sz val="11"/>
        <color theme="1"/>
        <rFont val="Calibri"/>
        <family val="2"/>
        <scheme val="minor"/>
      </rPr>
      <t>Inclination:</t>
    </r>
    <r>
      <rPr>
        <b/>
        <i/>
        <sz val="11"/>
        <color theme="1"/>
        <rFont val="Calibri"/>
        <family val="2"/>
        <scheme val="minor"/>
      </rPr>
      <t xml:space="preserve"> İ </t>
    </r>
    <r>
      <rPr>
        <b/>
        <sz val="11"/>
        <color theme="1"/>
        <rFont val="Calibri"/>
        <family val="2"/>
        <scheme val="minor"/>
      </rPr>
      <t>(rad/yr)</t>
    </r>
  </si>
  <si>
    <r>
      <rPr>
        <b/>
        <sz val="11"/>
        <color theme="1"/>
        <rFont val="Calibri"/>
        <family val="2"/>
        <scheme val="minor"/>
      </rPr>
      <t xml:space="preserve">Inclination: </t>
    </r>
    <r>
      <rPr>
        <b/>
        <i/>
        <sz val="11"/>
        <color theme="1"/>
        <rFont val="Calibri"/>
        <family val="2"/>
        <scheme val="minor"/>
      </rPr>
      <t xml:space="preserve">İ </t>
    </r>
    <r>
      <rPr>
        <b/>
        <sz val="11"/>
        <color theme="1"/>
        <rFont val="Calibri"/>
        <family val="2"/>
        <scheme val="minor"/>
      </rPr>
      <t>(deg/yr)</t>
    </r>
  </si>
  <si>
    <r>
      <rPr>
        <b/>
        <sz val="11"/>
        <color theme="1"/>
        <rFont val="Calibri"/>
        <family val="2"/>
        <scheme val="minor"/>
      </rPr>
      <t>Declination:</t>
    </r>
    <r>
      <rPr>
        <b/>
        <i/>
        <sz val="11"/>
        <color theme="1"/>
        <rFont val="Calibri"/>
        <family val="2"/>
        <scheme val="minor"/>
      </rPr>
      <t xml:space="preserve"> Ḋ </t>
    </r>
    <r>
      <rPr>
        <b/>
        <sz val="11"/>
        <color theme="1"/>
        <rFont val="Calibri"/>
        <family val="2"/>
        <scheme val="minor"/>
      </rPr>
      <t>(rad/yr)</t>
    </r>
  </si>
  <si>
    <r>
      <rPr>
        <b/>
        <sz val="11"/>
        <color theme="1"/>
        <rFont val="Calibri"/>
        <family val="2"/>
        <scheme val="minor"/>
      </rPr>
      <t>Declination:</t>
    </r>
    <r>
      <rPr>
        <b/>
        <i/>
        <sz val="11"/>
        <color theme="1"/>
        <rFont val="Calibri"/>
        <family val="2"/>
        <scheme val="minor"/>
      </rPr>
      <t xml:space="preserve"> Ḋ </t>
    </r>
    <r>
      <rPr>
        <b/>
        <sz val="11"/>
        <color theme="1"/>
        <rFont val="Calibri"/>
        <family val="2"/>
        <scheme val="minor"/>
      </rPr>
      <t>(deg/yr)</t>
    </r>
  </si>
  <si>
    <t>Geocentric Coordinates</t>
  </si>
  <si>
    <t>Geodetic Coordinates</t>
  </si>
  <si>
    <r>
      <rPr>
        <b/>
        <sz val="11"/>
        <color theme="1"/>
        <rFont val="Calibri"/>
        <family val="2"/>
        <scheme val="minor"/>
      </rPr>
      <t xml:space="preserve">Semi-Major Axis </t>
    </r>
    <r>
      <rPr>
        <b/>
        <i/>
        <sz val="11"/>
        <color theme="1"/>
        <rFont val="Calibri"/>
        <family val="2"/>
        <scheme val="minor"/>
      </rPr>
      <t>(a)</t>
    </r>
  </si>
  <si>
    <r>
      <t>Semi-Minor Axis (</t>
    </r>
    <r>
      <rPr>
        <b/>
        <i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>)</t>
    </r>
  </si>
  <si>
    <t>Field Vector Components (nT)</t>
  </si>
  <si>
    <t>X'(λ,ϕ',r)</t>
  </si>
  <si>
    <t>Y'(λ,ϕ',r)</t>
  </si>
  <si>
    <t>Z'(λ,ϕ',r)</t>
  </si>
  <si>
    <t>Secular Variation of Field Components (nT/yr)</t>
  </si>
  <si>
    <t>Ẋ'(λ,ϕ',r)</t>
  </si>
  <si>
    <t>Ẏ'(λ,ϕ',r)</t>
  </si>
  <si>
    <t>Ż'(λ,ϕ',r)</t>
  </si>
  <si>
    <t>Magnetic Field Elements</t>
  </si>
  <si>
    <r>
      <t>Height above Ellipsoid (</t>
    </r>
    <r>
      <rPr>
        <b/>
        <i/>
        <sz val="11"/>
        <color theme="1"/>
        <rFont val="Calibri"/>
        <family val="2"/>
        <scheme val="minor"/>
      </rPr>
      <t>h</t>
    </r>
    <r>
      <rPr>
        <b/>
        <sz val="11"/>
        <color theme="1"/>
        <rFont val="Calibri"/>
        <family val="2"/>
        <scheme val="minor"/>
      </rPr>
      <t>) (m)</t>
    </r>
  </si>
  <si>
    <t>Time-Dependent Coefficients</t>
  </si>
  <si>
    <r>
      <t>d</t>
    </r>
    <r>
      <rPr>
        <b/>
        <i/>
        <sz val="11"/>
        <color theme="1"/>
        <rFont val="Calibri"/>
        <family val="2"/>
      </rPr>
      <t>Ṕ</t>
    </r>
    <r>
      <rPr>
        <b/>
        <i/>
        <vertAlign val="superscript"/>
        <sz val="11"/>
        <color theme="1"/>
        <rFont val="Calibri"/>
        <family val="2"/>
        <scheme val="minor"/>
      </rPr>
      <t>m</t>
    </r>
    <r>
      <rPr>
        <b/>
        <i/>
        <vertAlign val="subscript"/>
        <sz val="11"/>
        <color theme="1"/>
        <rFont val="Calibri"/>
        <family val="2"/>
        <scheme val="minor"/>
      </rPr>
      <t>n</t>
    </r>
    <r>
      <rPr>
        <b/>
        <i/>
        <sz val="11"/>
        <color theme="1"/>
        <rFont val="Calibri"/>
        <family val="2"/>
        <scheme val="minor"/>
      </rPr>
      <t>(sin ϕ')/dϕ'</t>
    </r>
  </si>
  <si>
    <t>Schmidt Semi-Normalized Associated Legendre Functions</t>
  </si>
  <si>
    <r>
      <rPr>
        <b/>
        <sz val="11"/>
        <color theme="1"/>
        <rFont val="Calibri"/>
        <family val="2"/>
        <scheme val="minor"/>
      </rPr>
      <t>Point of Interest (</t>
    </r>
    <r>
      <rPr>
        <b/>
        <i/>
        <sz val="11"/>
        <color theme="1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</si>
  <si>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1"/>
        <color theme="1"/>
        <rFont val="Calibri"/>
        <family val="2"/>
        <scheme val="minor"/>
      </rPr>
      <t>Geomagnetic Reference Radius (</t>
    </r>
    <r>
      <rPr>
        <b/>
        <i/>
        <sz val="11"/>
        <color theme="1"/>
        <rFont val="Calibri"/>
        <family val="2"/>
        <scheme val="minor"/>
      </rPr>
      <t xml:space="preserve">a) </t>
    </r>
    <r>
      <rPr>
        <b/>
        <sz val="11"/>
        <color theme="1"/>
        <rFont val="Calibri"/>
        <family val="2"/>
        <scheme val="minor"/>
      </rPr>
      <t>(m)</t>
    </r>
  </si>
  <si>
    <r>
      <rPr>
        <b/>
        <sz val="11"/>
        <color theme="1"/>
        <rFont val="Calibri"/>
        <family val="2"/>
        <scheme val="minor"/>
      </rPr>
      <t>North Polar Axis (</t>
    </r>
    <r>
      <rPr>
        <b/>
        <i/>
        <sz val="11"/>
        <color theme="1"/>
        <rFont val="Calibri"/>
        <family val="2"/>
        <scheme val="minor"/>
      </rPr>
      <t>z</t>
    </r>
    <r>
      <rPr>
        <b/>
        <sz val="11"/>
        <color theme="1"/>
        <rFont val="Calibri"/>
        <family val="2"/>
        <scheme val="minor"/>
      </rPr>
      <t>) (m)</t>
    </r>
  </si>
  <si>
    <t>Decimal Year</t>
  </si>
  <si>
    <t>Secular Variation of Magnetic Field Elements</t>
  </si>
  <si>
    <t>World Magnetic Model Gauss Coefficients for Year:</t>
  </si>
  <si>
    <t>North</t>
  </si>
  <si>
    <t>East</t>
  </si>
  <si>
    <t>Vertical</t>
  </si>
  <si>
    <t>Horizontal</t>
  </si>
  <si>
    <t>Total Field</t>
  </si>
  <si>
    <t>Inclination</t>
  </si>
  <si>
    <t>Declination</t>
  </si>
  <si>
    <t>Values</t>
  </si>
  <si>
    <t>Change/Year</t>
  </si>
  <si>
    <t>Uncertainty</t>
  </si>
  <si>
    <r>
      <rPr>
        <b/>
        <sz val="11"/>
        <rFont val="Calibri"/>
        <family val="2"/>
        <scheme val="minor"/>
      </rPr>
      <t>North Component:</t>
    </r>
    <r>
      <rPr>
        <b/>
        <i/>
        <sz val="11"/>
        <rFont val="Calibri"/>
        <family val="2"/>
        <scheme val="minor"/>
      </rPr>
      <t xml:space="preserve"> </t>
    </r>
    <r>
      <rPr>
        <b/>
        <i/>
        <sz val="11"/>
        <rFont val="Calibri"/>
        <family val="2"/>
      </rPr>
      <t>δ</t>
    </r>
    <r>
      <rPr>
        <b/>
        <i/>
        <sz val="11"/>
        <rFont val="Calibri"/>
        <family val="2"/>
        <scheme val="minor"/>
      </rPr>
      <t xml:space="preserve">X </t>
    </r>
    <r>
      <rPr>
        <b/>
        <sz val="1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</si>
  <si>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East Component:</t>
    </r>
    <r>
      <rPr>
        <b/>
        <i/>
        <sz val="11"/>
        <color theme="1"/>
        <rFont val="Calibri"/>
        <family val="2"/>
        <scheme val="minor"/>
      </rPr>
      <t xml:space="preserve"> δY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</si>
  <si>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Down (Vertical) Component:</t>
    </r>
    <r>
      <rPr>
        <b/>
        <i/>
        <sz val="11"/>
        <color theme="1"/>
        <rFont val="Calibri"/>
        <family val="2"/>
        <scheme val="minor"/>
      </rPr>
      <t xml:space="preserve"> δZ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</si>
  <si>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Horizontal Intensity: δ</t>
    </r>
    <r>
      <rPr>
        <b/>
        <i/>
        <sz val="11"/>
        <color theme="1"/>
        <rFont val="Calibri"/>
        <family val="2"/>
        <scheme val="minor"/>
      </rPr>
      <t xml:space="preserve">H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</si>
  <si>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>Total Intensity:</t>
    </r>
    <r>
      <rPr>
        <b/>
        <i/>
        <sz val="11"/>
        <color theme="1"/>
        <rFont val="Calibri"/>
        <family val="2"/>
        <scheme val="minor"/>
      </rPr>
      <t xml:space="preserve"> δF </t>
    </r>
    <r>
      <rPr>
        <b/>
        <sz val="11"/>
        <color theme="1"/>
        <rFont val="Calibri"/>
        <family val="2"/>
        <scheme val="minor"/>
      </rPr>
      <t>(nT)</t>
    </r>
  </si>
  <si>
    <r>
      <rPr>
        <b/>
        <sz val="11"/>
        <color theme="1"/>
        <rFont val="Calibri"/>
        <family val="2"/>
        <scheme val="minor"/>
      </rPr>
      <t xml:space="preserve">Inclination: </t>
    </r>
    <r>
      <rPr>
        <b/>
        <i/>
        <sz val="11"/>
        <color theme="1"/>
        <rFont val="Calibri"/>
        <family val="2"/>
        <scheme val="minor"/>
      </rPr>
      <t xml:space="preserve">δI </t>
    </r>
    <r>
      <rPr>
        <b/>
        <sz val="11"/>
        <color theme="1"/>
        <rFont val="Calibri"/>
        <family val="2"/>
        <scheme val="minor"/>
      </rPr>
      <t>(deg)</t>
    </r>
  </si>
  <si>
    <r>
      <rPr>
        <b/>
        <sz val="11"/>
        <color theme="1"/>
        <rFont val="Calibri"/>
        <family val="2"/>
        <scheme val="minor"/>
      </rPr>
      <t xml:space="preserve">Declination: </t>
    </r>
    <r>
      <rPr>
        <b/>
        <i/>
        <sz val="11"/>
        <color theme="1"/>
        <rFont val="Calibri"/>
        <family val="2"/>
        <scheme val="minor"/>
      </rPr>
      <t xml:space="preserve">δD </t>
    </r>
    <r>
      <rPr>
        <b/>
        <sz val="11"/>
        <color theme="1"/>
        <rFont val="Calibri"/>
        <family val="2"/>
        <scheme val="minor"/>
      </rPr>
      <t>(deg)</t>
    </r>
  </si>
  <si>
    <r>
      <t>Latitude (</t>
    </r>
    <r>
      <rPr>
        <b/>
        <i/>
        <sz val="11"/>
        <color theme="1"/>
        <rFont val="Calibri"/>
        <family val="2"/>
        <scheme val="minor"/>
      </rPr>
      <t>ϕ</t>
    </r>
    <r>
      <rPr>
        <b/>
        <sz val="11"/>
        <color theme="1"/>
        <rFont val="Calibri"/>
        <family val="2"/>
        <scheme val="minor"/>
      </rPr>
      <t>) (deg)</t>
    </r>
  </si>
  <si>
    <r>
      <t>Latitude (</t>
    </r>
    <r>
      <rPr>
        <b/>
        <i/>
        <sz val="11"/>
        <color theme="1"/>
        <rFont val="Calibri"/>
        <family val="2"/>
        <scheme val="minor"/>
      </rPr>
      <t>ϕ</t>
    </r>
    <r>
      <rPr>
        <b/>
        <sz val="11"/>
        <color theme="1"/>
        <rFont val="Calibri"/>
        <family val="2"/>
        <scheme val="minor"/>
      </rPr>
      <t>) (rad)</t>
    </r>
  </si>
  <si>
    <r>
      <t>Longitude (</t>
    </r>
    <r>
      <rPr>
        <b/>
        <i/>
        <sz val="11"/>
        <color theme="1"/>
        <rFont val="Calibri"/>
        <family val="2"/>
        <scheme val="minor"/>
      </rPr>
      <t>λ</t>
    </r>
    <r>
      <rPr>
        <b/>
        <sz val="11"/>
        <color theme="1"/>
        <rFont val="Calibri"/>
        <family val="2"/>
        <scheme val="minor"/>
      </rPr>
      <t>) (deg)</t>
    </r>
  </si>
  <si>
    <r>
      <t>Longitude (</t>
    </r>
    <r>
      <rPr>
        <b/>
        <i/>
        <sz val="11"/>
        <color theme="1"/>
        <rFont val="Calibri"/>
        <family val="2"/>
        <scheme val="minor"/>
      </rPr>
      <t>λ</t>
    </r>
    <r>
      <rPr>
        <b/>
        <sz val="11"/>
        <color theme="1"/>
        <rFont val="Calibri"/>
        <family val="2"/>
        <scheme val="minor"/>
      </rPr>
      <t>) (rad)</t>
    </r>
  </si>
  <si>
    <r>
      <t>Latitude (</t>
    </r>
    <r>
      <rPr>
        <b/>
        <i/>
        <sz val="11"/>
        <color theme="1"/>
        <rFont val="Calibri"/>
        <family val="2"/>
        <scheme val="minor"/>
      </rPr>
      <t>ϕ'</t>
    </r>
    <r>
      <rPr>
        <b/>
        <sz val="11"/>
        <color theme="1"/>
        <rFont val="Calibri"/>
        <family val="2"/>
        <scheme val="minor"/>
      </rPr>
      <t>) (rad)</t>
    </r>
  </si>
  <si>
    <t>Select Coordinate Format:</t>
  </si>
  <si>
    <t>Decimal:</t>
  </si>
  <si>
    <t>Decimal Date:</t>
  </si>
  <si>
    <t>Traditional Date:</t>
  </si>
  <si>
    <t>Height above Ellipsoid:</t>
  </si>
  <si>
    <t>Please contact noah.hassler@gmail.com for questions or comments</t>
  </si>
  <si>
    <t>feet</t>
  </si>
  <si>
    <t>Noah Hassler's Magnetic Field Calculator *Values Valid between 1 Jan 2015 and 31 Dec 2019*</t>
  </si>
  <si>
    <t>For more information on the World Magnetic Model please visit http://www.ngdc.noaa.gov/geomag/WMM/DoDWMM.shtml</t>
  </si>
  <si>
    <t>CALCULATE</t>
  </si>
  <si>
    <t>E 180 00 00</t>
  </si>
  <si>
    <t>N 60 00 00</t>
  </si>
</sst>
</file>

<file path=xl/styles.xml><?xml version="1.0" encoding="utf-8"?>
<styleSheet xmlns="http://schemas.openxmlformats.org/spreadsheetml/2006/main">
  <numFmts count="6">
    <numFmt numFmtId="164" formatCode="0.00000"/>
    <numFmt numFmtId="165" formatCode="0.0000000000"/>
    <numFmt numFmtId="166" formatCode="0.00000000"/>
    <numFmt numFmtId="167" formatCode="0.000"/>
    <numFmt numFmtId="168" formatCode="d/mmm/yyyy"/>
    <numFmt numFmtId="169" formatCode="0.000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i/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name val="Calibri"/>
      <family val="2"/>
    </font>
    <font>
      <b/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13" xfId="0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68" fontId="0" fillId="3" borderId="0" xfId="0" applyNumberForma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164" fontId="0" fillId="0" borderId="31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1" fillId="5" borderId="2" xfId="0" applyFont="1" applyFill="1" applyBorder="1" applyAlignment="1" applyProtection="1">
      <alignment horizontal="center" vertical="center"/>
    </xf>
    <xf numFmtId="0" fontId="1" fillId="5" borderId="7" xfId="0" applyFont="1" applyFill="1" applyBorder="1" applyAlignment="1" applyProtection="1">
      <alignment horizontal="center" vertical="center"/>
    </xf>
    <xf numFmtId="0" fontId="1" fillId="5" borderId="1" xfId="0" applyFont="1" applyFill="1" applyBorder="1" applyAlignment="1" applyProtection="1">
      <alignment horizontal="center" vertical="center"/>
    </xf>
    <xf numFmtId="0" fontId="1" fillId="5" borderId="6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1" fontId="0" fillId="5" borderId="6" xfId="0" applyNumberFormat="1" applyFont="1" applyFill="1" applyBorder="1" applyAlignment="1" applyProtection="1">
      <alignment horizontal="center" vertical="center"/>
    </xf>
    <xf numFmtId="0" fontId="10" fillId="3" borderId="0" xfId="1" applyFill="1" applyBorder="1" applyAlignment="1" applyProtection="1">
      <alignment horizontal="center" vertical="center"/>
    </xf>
    <xf numFmtId="0" fontId="1" fillId="5" borderId="2" xfId="0" applyFont="1" applyFill="1" applyBorder="1" applyAlignment="1" applyProtection="1">
      <alignment horizontal="center" vertical="center"/>
      <protection locked="0"/>
    </xf>
    <xf numFmtId="0" fontId="1" fillId="5" borderId="3" xfId="0" applyFont="1" applyFill="1" applyBorder="1" applyAlignment="1" applyProtection="1">
      <alignment horizontal="center" vertical="center"/>
      <protection locked="0"/>
    </xf>
    <xf numFmtId="0" fontId="1" fillId="5" borderId="4" xfId="0" applyFont="1" applyFill="1" applyBorder="1" applyAlignment="1" applyProtection="1">
      <alignment horizontal="center" vertical="center"/>
      <protection locked="0"/>
    </xf>
    <xf numFmtId="2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167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1" fillId="3" borderId="20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</xf>
    <xf numFmtId="0" fontId="0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Border="1" applyAlignment="1" applyProtection="1">
      <alignment horizontal="center" vertical="center"/>
    </xf>
    <xf numFmtId="0" fontId="4" fillId="0" borderId="26" xfId="0" applyFont="1" applyFill="1" applyBorder="1" applyAlignment="1" applyProtection="1">
      <alignment horizontal="center" vertical="center"/>
    </xf>
    <xf numFmtId="0" fontId="1" fillId="0" borderId="18" xfId="0" applyFont="1" applyFill="1" applyBorder="1" applyAlignment="1" applyProtection="1">
      <alignment horizontal="center" vertical="center"/>
    </xf>
    <xf numFmtId="0" fontId="1" fillId="0" borderId="19" xfId="0" applyFont="1" applyFill="1" applyBorder="1" applyAlignment="1" applyProtection="1">
      <alignment horizontal="center" vertical="center"/>
    </xf>
    <xf numFmtId="0" fontId="4" fillId="0" borderId="19" xfId="0" applyFont="1" applyFill="1" applyBorder="1" applyAlignment="1" applyProtection="1">
      <alignment horizontal="center" vertical="center"/>
    </xf>
    <xf numFmtId="0" fontId="4" fillId="0" borderId="20" xfId="0" applyFont="1" applyFill="1" applyBorder="1" applyAlignment="1" applyProtection="1">
      <alignment horizontal="center" vertical="center"/>
    </xf>
    <xf numFmtId="0" fontId="4" fillId="0" borderId="18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  <xf numFmtId="0" fontId="0" fillId="0" borderId="26" xfId="0" applyFont="1" applyFill="1" applyBorder="1" applyAlignment="1" applyProtection="1">
      <alignment horizontal="center" vertical="center"/>
    </xf>
    <xf numFmtId="0" fontId="0" fillId="0" borderId="25" xfId="0" applyFont="1" applyFill="1" applyBorder="1" applyAlignment="1" applyProtection="1">
      <alignment horizontal="center" vertical="center"/>
    </xf>
    <xf numFmtId="2" fontId="0" fillId="0" borderId="26" xfId="0" applyNumberFormat="1" applyFill="1" applyBorder="1" applyAlignment="1" applyProtection="1">
      <alignment horizontal="center" vertical="center"/>
    </xf>
    <xf numFmtId="2" fontId="0" fillId="0" borderId="27" xfId="0" applyNumberFormat="1" applyFill="1" applyBorder="1" applyAlignment="1" applyProtection="1">
      <alignment horizontal="center" vertical="center"/>
    </xf>
    <xf numFmtId="165" fontId="0" fillId="0" borderId="26" xfId="0" applyNumberFormat="1" applyFill="1" applyBorder="1" applyAlignment="1" applyProtection="1">
      <alignment horizontal="center" vertical="center"/>
    </xf>
    <xf numFmtId="165" fontId="0" fillId="0" borderId="25" xfId="0" applyNumberFormat="1" applyFill="1" applyBorder="1" applyAlignment="1" applyProtection="1">
      <alignment horizontal="center" vertical="center"/>
    </xf>
    <xf numFmtId="165" fontId="0" fillId="0" borderId="27" xfId="0" applyNumberFormat="1" applyFill="1" applyBorder="1" applyAlignment="1" applyProtection="1">
      <alignment horizontal="center" vertical="center"/>
    </xf>
    <xf numFmtId="0" fontId="0" fillId="0" borderId="26" xfId="0" quotePrefix="1" applyFill="1" applyBorder="1" applyAlignment="1" applyProtection="1">
      <alignment horizontal="center" vertical="center"/>
    </xf>
    <xf numFmtId="0" fontId="0" fillId="0" borderId="25" xfId="0" applyFill="1" applyBorder="1" applyAlignment="1" applyProtection="1">
      <alignment horizontal="center" vertical="center"/>
    </xf>
    <xf numFmtId="0" fontId="0" fillId="0" borderId="27" xfId="0" applyFill="1" applyBorder="1" applyAlignment="1" applyProtection="1">
      <alignment horizontal="center" vertical="center"/>
    </xf>
    <xf numFmtId="0" fontId="0" fillId="0" borderId="26" xfId="0" applyFill="1" applyBorder="1" applyAlignment="1" applyProtection="1">
      <alignment horizontal="center" vertical="center"/>
    </xf>
    <xf numFmtId="165" fontId="0" fillId="0" borderId="6" xfId="0" applyNumberFormat="1" applyFont="1" applyFill="1" applyBorder="1" applyAlignment="1" applyProtection="1">
      <alignment horizontal="center" vertical="center"/>
    </xf>
    <xf numFmtId="0" fontId="0" fillId="0" borderId="5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5" xfId="0" applyNumberFormat="1" applyFill="1" applyBorder="1" applyAlignment="1" applyProtection="1">
      <alignment horizontal="center" vertical="center"/>
    </xf>
    <xf numFmtId="2" fontId="0" fillId="0" borderId="6" xfId="0" applyNumberFormat="1" applyFill="1" applyBorder="1" applyAlignment="1" applyProtection="1">
      <alignment horizontal="center" vertical="center"/>
    </xf>
    <xf numFmtId="165" fontId="0" fillId="0" borderId="5" xfId="0" applyNumberFormat="1" applyFill="1" applyBorder="1" applyAlignment="1" applyProtection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/>
    </xf>
    <xf numFmtId="165" fontId="0" fillId="0" borderId="6" xfId="0" applyNumberFormat="1" applyFill="1" applyBorder="1" applyAlignment="1" applyProtection="1">
      <alignment horizontal="center" vertical="center"/>
    </xf>
    <xf numFmtId="0" fontId="0" fillId="0" borderId="5" xfId="0" quotePrefix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2" fontId="0" fillId="3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Fill="1" applyBorder="1" applyAlignment="1" applyProtection="1">
      <alignment horizontal="center" vertical="center"/>
    </xf>
    <xf numFmtId="165" fontId="0" fillId="0" borderId="9" xfId="0" applyNumberFormat="1" applyFont="1" applyFill="1" applyBorder="1" applyAlignment="1" applyProtection="1">
      <alignment horizontal="center" vertical="center"/>
    </xf>
    <xf numFmtId="166" fontId="0" fillId="3" borderId="0" xfId="0" applyNumberFormat="1" applyFont="1" applyFill="1" applyBorder="1" applyAlignment="1" applyProtection="1">
      <alignment horizontal="center" vertical="center"/>
    </xf>
    <xf numFmtId="165" fontId="0" fillId="3" borderId="0" xfId="0" applyNumberFormat="1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</xf>
    <xf numFmtId="0" fontId="1" fillId="0" borderId="26" xfId="0" applyFont="1" applyFill="1" applyBorder="1" applyAlignment="1" applyProtection="1">
      <alignment horizontal="center" vertical="center"/>
    </xf>
    <xf numFmtId="165" fontId="0" fillId="0" borderId="27" xfId="0" applyNumberFormat="1" applyFont="1" applyFill="1" applyBorder="1" applyAlignment="1" applyProtection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</xf>
    <xf numFmtId="165" fontId="8" fillId="0" borderId="4" xfId="0" applyNumberFormat="1" applyFont="1" applyFill="1" applyBorder="1" applyAlignment="1" applyProtection="1">
      <alignment horizontal="center" vertical="center"/>
    </xf>
    <xf numFmtId="165" fontId="8" fillId="0" borderId="6" xfId="0" applyNumberFormat="1" applyFont="1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2" fontId="0" fillId="0" borderId="7" xfId="0" applyNumberFormat="1" applyFill="1" applyBorder="1" applyAlignment="1" applyProtection="1">
      <alignment horizontal="center" vertical="center"/>
    </xf>
    <xf numFmtId="2" fontId="0" fillId="0" borderId="9" xfId="0" applyNumberFormat="1" applyFill="1" applyBorder="1" applyAlignment="1" applyProtection="1">
      <alignment horizontal="center" vertical="center"/>
    </xf>
    <xf numFmtId="0" fontId="0" fillId="0" borderId="7" xfId="0" quotePrefix="1" applyFill="1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165" fontId="0" fillId="4" borderId="6" xfId="0" applyNumberFormat="1" applyFill="1" applyBorder="1" applyAlignment="1" applyProtection="1">
      <alignment horizontal="center" vertical="center"/>
    </xf>
    <xf numFmtId="0" fontId="0" fillId="0" borderId="7" xfId="0" applyFont="1" applyFill="1" applyBorder="1" applyAlignment="1" applyProtection="1">
      <alignment horizontal="center" vertical="center"/>
    </xf>
    <xf numFmtId="0" fontId="0" fillId="0" borderId="8" xfId="0" applyFont="1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165" fontId="0" fillId="0" borderId="7" xfId="0" applyNumberFormat="1" applyFill="1" applyBorder="1" applyAlignment="1" applyProtection="1">
      <alignment horizontal="center" vertical="center"/>
    </xf>
    <xf numFmtId="165" fontId="0" fillId="0" borderId="8" xfId="0" applyNumberFormat="1" applyFill="1" applyBorder="1" applyAlignment="1" applyProtection="1">
      <alignment horizontal="center" vertical="center"/>
    </xf>
    <xf numFmtId="165" fontId="0" fillId="4" borderId="9" xfId="0" applyNumberFormat="1" applyFill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horizontal="center" vertical="center"/>
    </xf>
    <xf numFmtId="0" fontId="0" fillId="5" borderId="29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  <protection locked="0"/>
    </xf>
    <xf numFmtId="0" fontId="9" fillId="5" borderId="8" xfId="0" applyFont="1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  <protection locked="0"/>
    </xf>
    <xf numFmtId="0" fontId="1" fillId="5" borderId="28" xfId="0" applyFont="1" applyFill="1" applyBorder="1" applyAlignment="1" applyProtection="1">
      <alignment horizontal="center" vertical="center"/>
      <protection locked="0"/>
    </xf>
    <xf numFmtId="165" fontId="1" fillId="0" borderId="28" xfId="0" applyNumberFormat="1" applyFont="1" applyFill="1" applyBorder="1" applyAlignment="1" applyProtection="1">
      <alignment horizontal="center" vertical="center"/>
    </xf>
    <xf numFmtId="165" fontId="1" fillId="0" borderId="29" xfId="0" applyNumberFormat="1" applyFont="1" applyFill="1" applyBorder="1" applyAlignment="1" applyProtection="1">
      <alignment horizontal="center" vertical="center"/>
    </xf>
    <xf numFmtId="165" fontId="1" fillId="0" borderId="30" xfId="0" applyNumberFormat="1" applyFont="1" applyFill="1" applyBorder="1" applyAlignment="1" applyProtection="1">
      <alignment horizontal="center" vertical="center"/>
    </xf>
    <xf numFmtId="165" fontId="1" fillId="0" borderId="7" xfId="0" applyNumberFormat="1" applyFont="1" applyFill="1" applyBorder="1" applyAlignment="1" applyProtection="1">
      <alignment horizontal="center" vertical="center"/>
    </xf>
    <xf numFmtId="165" fontId="1" fillId="0" borderId="8" xfId="0" applyNumberFormat="1" applyFont="1" applyFill="1" applyBorder="1" applyAlignment="1" applyProtection="1">
      <alignment horizontal="center" vertical="center"/>
    </xf>
    <xf numFmtId="165" fontId="1" fillId="0" borderId="9" xfId="0" applyNumberFormat="1" applyFont="1" applyFill="1" applyBorder="1" applyAlignment="1" applyProtection="1">
      <alignment horizontal="center" vertical="center"/>
    </xf>
    <xf numFmtId="165" fontId="0" fillId="0" borderId="4" xfId="0" applyNumberFormat="1" applyFont="1" applyFill="1" applyBorder="1" applyAlignment="1" applyProtection="1">
      <alignment horizontal="center" vertical="center"/>
    </xf>
    <xf numFmtId="165" fontId="0" fillId="0" borderId="9" xfId="0" applyNumberFormat="1" applyFill="1" applyBorder="1" applyAlignment="1" applyProtection="1">
      <alignment horizontal="center" vertical="center"/>
    </xf>
    <xf numFmtId="165" fontId="8" fillId="0" borderId="9" xfId="0" applyNumberFormat="1" applyFont="1" applyFill="1" applyBorder="1" applyAlignment="1" applyProtection="1">
      <alignment horizontal="center" vertical="center"/>
    </xf>
    <xf numFmtId="165" fontId="8" fillId="0" borderId="27" xfId="0" applyNumberFormat="1" applyFont="1" applyFill="1" applyBorder="1" applyAlignment="1" applyProtection="1">
      <alignment horizontal="center" vertical="center"/>
    </xf>
    <xf numFmtId="0" fontId="9" fillId="6" borderId="20" xfId="0" applyFont="1" applyFill="1" applyBorder="1" applyAlignment="1" applyProtection="1">
      <alignment horizontal="center" vertical="center"/>
      <protection locked="0"/>
    </xf>
    <xf numFmtId="0" fontId="0" fillId="6" borderId="8" xfId="0" applyFont="1" applyFill="1" applyBorder="1" applyAlignment="1" applyProtection="1">
      <alignment horizontal="center" vertical="center"/>
      <protection locked="0"/>
    </xf>
    <xf numFmtId="0" fontId="0" fillId="6" borderId="9" xfId="0" applyFont="1" applyFill="1" applyBorder="1" applyAlignment="1" applyProtection="1">
      <alignment horizontal="center" vertical="center"/>
      <protection locked="0"/>
    </xf>
    <xf numFmtId="0" fontId="14" fillId="6" borderId="19" xfId="0" applyFont="1" applyFill="1" applyBorder="1" applyAlignment="1" applyProtection="1">
      <alignment horizontal="center" vertical="center"/>
      <protection locked="0"/>
    </xf>
    <xf numFmtId="2" fontId="0" fillId="2" borderId="20" xfId="0" applyNumberForma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center" vertical="center"/>
      <protection locked="0"/>
    </xf>
    <xf numFmtId="0" fontId="0" fillId="2" borderId="25" xfId="0" applyFont="1" applyFill="1" applyBorder="1" applyAlignment="1" applyProtection="1">
      <alignment horizontal="center" vertical="center"/>
      <protection locked="0"/>
    </xf>
    <xf numFmtId="0" fontId="0" fillId="2" borderId="27" xfId="0" applyFont="1" applyFill="1" applyBorder="1" applyAlignment="1" applyProtection="1">
      <alignment horizontal="center" vertical="center"/>
      <protection locked="0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2" borderId="6" xfId="0" applyFont="1" applyFill="1" applyBorder="1" applyAlignment="1" applyProtection="1">
      <alignment horizontal="center" vertical="center"/>
      <protection locked="0"/>
    </xf>
    <xf numFmtId="0" fontId="13" fillId="5" borderId="14" xfId="1" applyFont="1" applyFill="1" applyBorder="1" applyAlignment="1" applyProtection="1">
      <alignment horizontal="center"/>
      <protection locked="0"/>
    </xf>
    <xf numFmtId="0" fontId="13" fillId="5" borderId="15" xfId="1" applyFont="1" applyFill="1" applyBorder="1" applyAlignment="1" applyProtection="1">
      <alignment horizontal="center"/>
      <protection locked="0"/>
    </xf>
    <xf numFmtId="0" fontId="13" fillId="5" borderId="16" xfId="1" applyFont="1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 vertical="center"/>
    </xf>
    <xf numFmtId="0" fontId="1" fillId="5" borderId="15" xfId="0" applyFont="1" applyFill="1" applyBorder="1" applyAlignment="1" applyProtection="1">
      <alignment horizontal="center" vertical="center"/>
    </xf>
    <xf numFmtId="0" fontId="1" fillId="5" borderId="16" xfId="0" applyFont="1" applyFill="1" applyBorder="1" applyAlignment="1" applyProtection="1">
      <alignment horizontal="center" vertical="center"/>
    </xf>
    <xf numFmtId="0" fontId="1" fillId="5" borderId="32" xfId="0" applyFont="1" applyFill="1" applyBorder="1" applyAlignment="1" applyProtection="1">
      <alignment horizontal="center" vertical="center"/>
    </xf>
    <xf numFmtId="0" fontId="1" fillId="5" borderId="18" xfId="0" applyFont="1" applyFill="1" applyBorder="1" applyAlignment="1" applyProtection="1">
      <alignment horizontal="center" vertical="center"/>
    </xf>
    <xf numFmtId="0" fontId="1" fillId="5" borderId="19" xfId="0" applyFont="1" applyFill="1" applyBorder="1" applyAlignment="1" applyProtection="1">
      <alignment horizontal="center" vertical="center"/>
    </xf>
    <xf numFmtId="0" fontId="1" fillId="5" borderId="33" xfId="0" applyFont="1" applyFill="1" applyBorder="1" applyAlignment="1" applyProtection="1">
      <alignment horizontal="center" vertical="center"/>
    </xf>
    <xf numFmtId="0" fontId="1" fillId="5" borderId="34" xfId="0" applyFont="1" applyFill="1" applyBorder="1" applyAlignment="1" applyProtection="1">
      <alignment horizontal="center" vertical="center"/>
    </xf>
    <xf numFmtId="169" fontId="0" fillId="2" borderId="35" xfId="0" applyNumberFormat="1" applyFill="1" applyBorder="1" applyAlignment="1" applyProtection="1">
      <alignment horizontal="center" vertical="center"/>
      <protection locked="0"/>
    </xf>
    <xf numFmtId="169" fontId="0" fillId="2" borderId="36" xfId="0" applyNumberForma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</xf>
    <xf numFmtId="0" fontId="1" fillId="0" borderId="15" xfId="0" applyFont="1" applyFill="1" applyBorder="1" applyAlignment="1" applyProtection="1">
      <alignment horizontal="center" vertical="center"/>
    </xf>
    <xf numFmtId="0" fontId="1" fillId="0" borderId="16" xfId="0" applyFont="1" applyFill="1" applyBorder="1" applyAlignment="1" applyProtection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0" borderId="18" xfId="0" applyFont="1" applyFill="1" applyBorder="1" applyAlignment="1" applyProtection="1">
      <alignment horizontal="center" vertical="center"/>
    </xf>
    <xf numFmtId="0" fontId="1" fillId="0" borderId="19" xfId="0" applyFont="1" applyFill="1" applyBorder="1" applyAlignment="1" applyProtection="1">
      <alignment horizontal="center" vertical="center"/>
    </xf>
    <xf numFmtId="0" fontId="1" fillId="0" borderId="20" xfId="0" applyFont="1" applyFill="1" applyBorder="1" applyAlignment="1" applyProtection="1">
      <alignment horizontal="center" vertical="center"/>
    </xf>
  </cellXfs>
  <cellStyles count="2">
    <cellStyle name="Lien hypertexte" xfId="1" builtinId="8"/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'Coordinate Converter'!$B$1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ngdc.noaa.gov/geomag/WMM/DoDWMM.shtml" TargetMode="External"/><Relationship Id="rId1" Type="http://schemas.openxmlformats.org/officeDocument/2006/relationships/hyperlink" Target="mailto:noah.hassler@gmail.com" TargetMode="External"/><Relationship Id="rId6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B1:L20"/>
  <sheetViews>
    <sheetView zoomScale="80" zoomScaleNormal="80" workbookViewId="0">
      <selection activeCell="D8" sqref="D8"/>
    </sheetView>
  </sheetViews>
  <sheetFormatPr baseColWidth="10" defaultColWidth="9.140625" defaultRowHeight="15"/>
  <cols>
    <col min="1" max="1" width="2.85546875" style="21" customWidth="1"/>
    <col min="2" max="9" width="17.7109375" style="21" customWidth="1"/>
    <col min="10" max="10" width="2.7109375" style="21" customWidth="1"/>
    <col min="11" max="11" width="12.85546875" style="21" customWidth="1"/>
    <col min="12" max="12" width="19.140625" style="21" bestFit="1" customWidth="1"/>
    <col min="13" max="13" width="12.85546875" style="21" customWidth="1"/>
    <col min="14" max="14" width="2.85546875" style="21" customWidth="1"/>
    <col min="15" max="16384" width="9.140625" style="21"/>
  </cols>
  <sheetData>
    <row r="1" spans="2:9" ht="15.75" thickBot="1"/>
    <row r="2" spans="2:9" ht="15.75" customHeight="1" thickBot="1">
      <c r="B2" s="137" t="s">
        <v>116</v>
      </c>
      <c r="C2" s="138"/>
      <c r="D2" s="138"/>
      <c r="E2" s="138"/>
      <c r="F2" s="138"/>
      <c r="G2" s="138"/>
      <c r="H2" s="138"/>
      <c r="I2" s="139"/>
    </row>
    <row r="3" spans="2:9" ht="15.75" thickBot="1"/>
    <row r="4" spans="2:9" ht="15.75" thickBot="1">
      <c r="B4" s="137" t="s">
        <v>4</v>
      </c>
      <c r="C4" s="140"/>
      <c r="D4" s="36" t="s">
        <v>118</v>
      </c>
      <c r="F4" s="141" t="s">
        <v>113</v>
      </c>
      <c r="G4" s="142"/>
      <c r="H4" s="127" t="s">
        <v>37</v>
      </c>
      <c r="I4" s="128">
        <v>100000</v>
      </c>
    </row>
    <row r="5" spans="2:9" ht="15.75" thickBot="1"/>
    <row r="6" spans="2:9" ht="15.75" thickBot="1">
      <c r="B6" s="137" t="s">
        <v>109</v>
      </c>
      <c r="C6" s="140"/>
      <c r="D6" s="124" t="s">
        <v>7</v>
      </c>
      <c r="F6" s="143" t="s">
        <v>111</v>
      </c>
      <c r="G6" s="144"/>
      <c r="H6" s="145">
        <v>2015</v>
      </c>
      <c r="I6" s="146"/>
    </row>
    <row r="7" spans="2:9" ht="15.75" thickBot="1">
      <c r="F7" s="107" t="s">
        <v>112</v>
      </c>
      <c r="G7" s="24" t="s">
        <v>47</v>
      </c>
      <c r="H7" s="24" t="s">
        <v>48</v>
      </c>
      <c r="I7" s="25" t="s">
        <v>49</v>
      </c>
    </row>
    <row r="8" spans="2:9">
      <c r="B8" s="22" t="s">
        <v>0</v>
      </c>
      <c r="C8" s="108" t="str">
        <f>D6</f>
        <v>H DD MM SS</v>
      </c>
      <c r="D8" s="109" t="s">
        <v>120</v>
      </c>
      <c r="F8" s="107" t="s">
        <v>38</v>
      </c>
      <c r="G8" s="26">
        <f ca="1">DAY(TODAY())</f>
        <v>15</v>
      </c>
      <c r="H8" s="26">
        <f ca="1">MONTH(TODAY())</f>
        <v>5</v>
      </c>
      <c r="I8" s="27">
        <f ca="1">YEAR(TODAY())</f>
        <v>2015</v>
      </c>
    </row>
    <row r="9" spans="2:9" ht="15.75" thickBot="1">
      <c r="B9" s="23" t="s">
        <v>1</v>
      </c>
      <c r="C9" s="110" t="str">
        <f>IF(D6="(-)DD.DDDDD","(-)DDD.DDDDD",IF(D6="H DD.DDDDD","H DDD.DDDDD",IF(D6="H DD MM.MMM","H DDD MM.MMM",IF(D6="H DD MM SS","H DDD MM SS",0))))</f>
        <v>H DDD MM SS</v>
      </c>
      <c r="D9" s="111" t="s">
        <v>119</v>
      </c>
      <c r="F9" s="23" t="s">
        <v>39</v>
      </c>
      <c r="G9" s="125">
        <v>31</v>
      </c>
      <c r="H9" s="125">
        <v>12</v>
      </c>
      <c r="I9" s="126">
        <v>2019</v>
      </c>
    </row>
    <row r="10" spans="2:9" ht="15.75" thickBot="1"/>
    <row r="11" spans="2:9" ht="15.75" thickBot="1">
      <c r="B11" s="147" t="s">
        <v>76</v>
      </c>
      <c r="C11" s="148"/>
      <c r="D11" s="148"/>
      <c r="E11" s="148"/>
      <c r="F11" s="148"/>
      <c r="G11" s="148"/>
      <c r="H11" s="148"/>
      <c r="I11" s="149"/>
    </row>
    <row r="12" spans="2:9" ht="15.75" thickBot="1">
      <c r="I12" s="28"/>
    </row>
    <row r="13" spans="2:9" ht="15.75" thickBot="1">
      <c r="B13" s="20"/>
      <c r="C13" s="29" t="s">
        <v>91</v>
      </c>
      <c r="D13" s="30" t="s">
        <v>90</v>
      </c>
      <c r="E13" s="30" t="s">
        <v>87</v>
      </c>
      <c r="F13" s="30" t="s">
        <v>88</v>
      </c>
      <c r="G13" s="30" t="s">
        <v>89</v>
      </c>
      <c r="H13" s="30" t="s">
        <v>93</v>
      </c>
      <c r="I13" s="31" t="s">
        <v>92</v>
      </c>
    </row>
    <row r="14" spans="2:9">
      <c r="B14" s="29" t="s">
        <v>94</v>
      </c>
      <c r="C14" s="32" t="str">
        <f>IF(D4="INPUT","-",ROUND('WMM2015 Calculations'!C36,2)&amp;" nT")</f>
        <v>51404,81 nT</v>
      </c>
      <c r="D14" s="33" t="str">
        <f>IF(D4="INPUT","-",ROUND('WMM2015 Calculations'!C35,2)&amp;" nT")</f>
        <v>17075,53 nT</v>
      </c>
      <c r="E14" s="33" t="str">
        <f>IF(D4="INPUT","-",ROUND('WMM2015 Calculations'!C32,2)&amp;" nT")</f>
        <v>17044,11 nT</v>
      </c>
      <c r="F14" s="34" t="str">
        <f>IF(D4="INPUT","-",ROUND('WMM2015 Calculations'!C33,2)&amp;" nT")</f>
        <v>1035,32 nT</v>
      </c>
      <c r="G14" s="33" t="str">
        <f>IF(D4="INPUT","-",ROUND('WMM2015 Calculations'!C34,2)&amp;" nT")</f>
        <v>48485,88 nT</v>
      </c>
      <c r="H14" s="33">
        <f>IF(D4="INPUT","-",ROUND('WMM2015 Calculations'!C40,0))</f>
        <v>3</v>
      </c>
      <c r="I14" s="35" t="str">
        <f>IF(D4="INPUT","-",ROUND('WMM2015 Calculations'!C38,2)&amp;"°")</f>
        <v>70,6°</v>
      </c>
    </row>
    <row r="15" spans="2:9">
      <c r="B15" s="112" t="s">
        <v>95</v>
      </c>
      <c r="C15" s="33" t="str">
        <f>IF(D4="INPUT","-",ROUND('WMM2015 Calculations'!C48,2)&amp;" nT")</f>
        <v>35,54 nT</v>
      </c>
      <c r="D15" s="33" t="str">
        <f>IF(D4="INPUT","-",ROUND('WMM2015 Calculations'!C47,2)&amp;" nT")</f>
        <v>-21,21 nT</v>
      </c>
      <c r="E15" s="33" t="str">
        <f>IF(D4="INPUT","-",ROUND('WMM2015 Calculations'!C44,2)&amp;" nT")</f>
        <v>-17,9 nT</v>
      </c>
      <c r="F15" s="33" t="str">
        <f>IF(D4="INPUT","-",ROUND('WMM2015 Calculations'!C45,2)&amp;" nT")</f>
        <v>-55,18 nT</v>
      </c>
      <c r="G15" s="33" t="str">
        <f>IF(D4="INPUT","-",ROUND('WMM2015 Calculations'!C46,2)&amp;" nT")</f>
        <v>45,15 nT</v>
      </c>
      <c r="H15" s="33" t="str">
        <f>IF(D4="INPUT","-",ROUND('WMM2015 Calculations'!C52,2)&amp;"°")</f>
        <v>-0,18°</v>
      </c>
      <c r="I15" s="35" t="str">
        <f>IF(D4="INPUT","-",ROUND('WMM2015 Calculations'!C50,2)&amp;"°")</f>
        <v>0,04°</v>
      </c>
    </row>
    <row r="16" spans="2:9" ht="15.75" thickBot="1">
      <c r="B16" s="113" t="s">
        <v>96</v>
      </c>
      <c r="C16" s="105" t="str">
        <f>IF(D4="INPUT","-",ROUND('WMM2015 Calculations'!C59,2)&amp;" nT")</f>
        <v>152 nT</v>
      </c>
      <c r="D16" s="105" t="str">
        <f>IF(D4="INPUT","-",ROUND('WMM2015 Calculations'!C58,2)&amp;" nT")</f>
        <v>133 nT</v>
      </c>
      <c r="E16" s="105" t="str">
        <f>IF(D4="INPUT","-",ROUND('WMM2015 Calculations'!C55,2)&amp;" nT")</f>
        <v>138 nT</v>
      </c>
      <c r="F16" s="105" t="str">
        <f>IF(D4="INPUT","-",ROUND('WMM2015 Calculations'!C56,2)&amp;" nT")</f>
        <v>89 nT</v>
      </c>
      <c r="G16" s="105" t="str">
        <f>IF(D4="INPUT","-",ROUND('WMM2015 Calculations'!C57,2)&amp;" nT")</f>
        <v>165 nT</v>
      </c>
      <c r="H16" s="105" t="str">
        <f>IF(D4="INPUT","-",ROUND('WMM2015 Calculations'!C61,2)&amp;"°")</f>
        <v>0,39°</v>
      </c>
      <c r="I16" s="106" t="str">
        <f>IF(D4="INPUT","-",ROUND('WMM2015 Calculations'!C60,2)&amp;"°")</f>
        <v>0,22°</v>
      </c>
    </row>
    <row r="17" spans="2:12" ht="15.75" thickBot="1"/>
    <row r="18" spans="2:12" ht="15.75" thickBot="1">
      <c r="B18" s="134" t="s">
        <v>114</v>
      </c>
      <c r="C18" s="135"/>
      <c r="D18" s="135"/>
      <c r="E18" s="135"/>
      <c r="F18" s="135"/>
      <c r="G18" s="135"/>
      <c r="H18" s="135"/>
      <c r="I18" s="136"/>
      <c r="J18" s="38"/>
      <c r="K18" s="38"/>
      <c r="L18" s="38"/>
    </row>
    <row r="19" spans="2:12" ht="15.75" thickBot="1">
      <c r="F19" s="28"/>
      <c r="J19" s="38"/>
      <c r="K19" s="38"/>
      <c r="L19" s="38"/>
    </row>
    <row r="20" spans="2:12" ht="15.75" thickBot="1">
      <c r="B20" s="134" t="s">
        <v>117</v>
      </c>
      <c r="C20" s="135"/>
      <c r="D20" s="135"/>
      <c r="E20" s="135"/>
      <c r="F20" s="135"/>
      <c r="G20" s="135"/>
      <c r="H20" s="135"/>
      <c r="I20" s="136"/>
      <c r="J20" s="38"/>
      <c r="K20" s="38"/>
      <c r="L20" s="38"/>
    </row>
  </sheetData>
  <sheetProtection sheet="1" objects="1" scenarios="1" selectLockedCells="1"/>
  <dataConsolidate/>
  <mergeCells count="9">
    <mergeCell ref="B20:I20"/>
    <mergeCell ref="B2:I2"/>
    <mergeCell ref="B18:I18"/>
    <mergeCell ref="B6:C6"/>
    <mergeCell ref="F4:G4"/>
    <mergeCell ref="F6:G6"/>
    <mergeCell ref="H6:I6"/>
    <mergeCell ref="B11:I11"/>
    <mergeCell ref="B4:C4"/>
  </mergeCells>
  <conditionalFormatting sqref="D4">
    <cfRule type="containsText" dxfId="1" priority="5" operator="containsText" text="CALCULATE!">
      <formula>NOT(ISERROR(SEARCH("CALCULATE!",D4)))</formula>
    </cfRule>
    <cfRule type="containsText" dxfId="0" priority="6" operator="containsText" text="INPUT">
      <formula>NOT(ISERROR(SEARCH("INPUT",D4)))</formula>
    </cfRule>
  </conditionalFormatting>
  <dataValidations xWindow="828" yWindow="300" count="1">
    <dataValidation type="decimal" allowBlank="1" showInputMessage="1" showErrorMessage="1" error="Values valid between 2015 and 2019.9999" prompt="Values valid between 2015 and 2019.9999" sqref="H6:I6">
      <formula1>2015</formula1>
      <formula2>2019.9999</formula2>
    </dataValidation>
  </dataValidations>
  <hyperlinks>
    <hyperlink ref="B18:I18" r:id="rId1" display="For questions, comments, errors, improvements, etc. please email noah.hassler@gmail.com"/>
    <hyperlink ref="B20:I20" r:id="rId2" display="For more information on NOAA's World Magnetic Model please visit http://www.ngdc.noaa.gov/geomag/WMM/DoDWMM.shtml"/>
  </hyperlinks>
  <printOptions horizontalCentered="1" verticalCentered="1"/>
  <pageMargins left="0.7" right="0.7" top="0.75" bottom="0.75" header="0.3" footer="0.3"/>
  <pageSetup scale="83" orientation="landscape" r:id="rId3"/>
  <ignoredErrors>
    <ignoredError sqref="C15:I16 C14:G14 I14" unlockedFormula="1"/>
  </ignoredErrors>
  <legacyDrawing r:id="rId4"/>
  <extLst xmlns:x14="http://schemas.microsoft.com/office/spreadsheetml/2009/9/main">
    <ext uri="{CCE6A557-97BC-4b89-ADB6-D9C93CAAB3DF}">
      <x14:dataValidations xmlns:xm="http://schemas.microsoft.com/office/excel/2006/main" xWindow="828" yWindow="300" count="6">
        <x14:dataValidation type="list" allowBlank="1" showInputMessage="1" showErrorMessage="1">
          <x14:formula1>
            <xm:f>'Coordinate Converter'!$B$22:$B$52</xm:f>
          </x14:formula1>
          <xm:sqref>G9</xm:sqref>
        </x14:dataValidation>
        <x14:dataValidation type="list" allowBlank="1" showInputMessage="1" showErrorMessage="1">
          <x14:formula1>
            <xm:f>'Coordinate Converter'!$B$22:$B$33</xm:f>
          </x14:formula1>
          <xm:sqref>H9</xm:sqref>
        </x14:dataValidation>
        <x14:dataValidation type="list" allowBlank="1" showInputMessage="1" showErrorMessage="1">
          <x14:formula1>
            <xm:f>'Coordinate Converter'!$B$10:$B$13</xm:f>
          </x14:formula1>
          <xm:sqref>D6</xm:sqref>
        </x14:dataValidation>
        <x14:dataValidation type="list" allowBlank="1" showInputMessage="1" showErrorMessage="1">
          <x14:formula1>
            <xm:f>'Coordinate Converter'!$B$15:$B$16</xm:f>
          </x14:formula1>
          <xm:sqref>H4</xm:sqref>
        </x14:dataValidation>
        <x14:dataValidation type="list" allowBlank="1" showInputMessage="1" showErrorMessage="1">
          <x14:formula1>
            <xm:f>'Coordinate Converter'!$B$7:$B$8</xm:f>
          </x14:formula1>
          <xm:sqref>D4</xm:sqref>
        </x14:dataValidation>
        <x14:dataValidation type="list" allowBlank="1" showInputMessage="1" showErrorMessage="1">
          <x14:formula1>
            <xm:f>'Coordinate Converter'!$B$54:$B$58</xm:f>
          </x14:formula1>
          <xm:sqref>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T58"/>
  <sheetViews>
    <sheetView zoomScale="80" zoomScaleNormal="80" workbookViewId="0">
      <selection activeCell="G9" sqref="G9"/>
    </sheetView>
  </sheetViews>
  <sheetFormatPr baseColWidth="10" defaultColWidth="9.140625" defaultRowHeight="15"/>
  <cols>
    <col min="1" max="1" width="2.85546875" style="3" customWidth="1"/>
    <col min="2" max="2" width="16.28515625" style="3" hidden="1" customWidth="1"/>
    <col min="3" max="3" width="2.28515625" style="3" hidden="1" customWidth="1"/>
    <col min="4" max="4" width="16.28515625" style="3" bestFit="1" customWidth="1"/>
    <col min="5" max="5" width="17.7109375" style="3" bestFit="1" customWidth="1"/>
    <col min="6" max="6" width="2.85546875" style="3" customWidth="1"/>
    <col min="7" max="7" width="16.28515625" style="3" bestFit="1" customWidth="1"/>
    <col min="8" max="8" width="17.7109375" style="3" bestFit="1" customWidth="1"/>
    <col min="9" max="9" width="2.85546875" style="3" customWidth="1"/>
    <col min="10" max="10" width="2.7109375" style="3" bestFit="1" customWidth="1"/>
    <col min="11" max="11" width="4.140625" style="3" bestFit="1" customWidth="1"/>
    <col min="12" max="12" width="4.85546875" style="3" bestFit="1" customWidth="1"/>
    <col min="13" max="13" width="5" style="3" bestFit="1" customWidth="1"/>
    <col min="14" max="14" width="2.7109375" style="3" bestFit="1" customWidth="1"/>
    <col min="15" max="15" width="5.5703125" style="3" bestFit="1" customWidth="1"/>
    <col min="16" max="16" width="4.85546875" style="3" bestFit="1" customWidth="1"/>
    <col min="17" max="17" width="5" style="3" bestFit="1" customWidth="1"/>
    <col min="18" max="18" width="2.85546875" style="3" customWidth="1"/>
    <col min="19" max="19" width="16.140625" style="3" customWidth="1"/>
    <col min="20" max="20" width="17.7109375" style="3" customWidth="1"/>
    <col min="21" max="16384" width="9.140625" style="3"/>
  </cols>
  <sheetData>
    <row r="1" spans="2:20" ht="15.75" thickBot="1">
      <c r="G1" s="6"/>
    </row>
    <row r="2" spans="2:20" ht="15.75" thickBot="1">
      <c r="D2" s="157" t="str">
        <f>"Output ("&amp;IF(D4=G4,"W",IF(D4=G9,"X",IF(D4=G14,"Y",IF(D4=G19,"Z",))))&amp;")"</f>
        <v>Output (W)</v>
      </c>
      <c r="E2" s="158"/>
      <c r="G2" s="150" t="s">
        <v>10</v>
      </c>
      <c r="H2" s="151"/>
      <c r="S2" s="150" t="s">
        <v>17</v>
      </c>
      <c r="T2" s="151"/>
    </row>
    <row r="3" spans="2:20">
      <c r="D3" s="9" t="s">
        <v>0</v>
      </c>
      <c r="E3" s="9" t="s">
        <v>1</v>
      </c>
      <c r="G3" s="9" t="s">
        <v>0</v>
      </c>
      <c r="H3" s="9" t="s">
        <v>1</v>
      </c>
      <c r="J3" s="159" t="s">
        <v>0</v>
      </c>
      <c r="K3" s="160"/>
      <c r="L3" s="160"/>
      <c r="M3" s="161"/>
      <c r="N3" s="159" t="s">
        <v>1</v>
      </c>
      <c r="O3" s="160"/>
      <c r="P3" s="160"/>
      <c r="Q3" s="161"/>
      <c r="S3" s="10" t="s">
        <v>0</v>
      </c>
      <c r="T3" s="10" t="s">
        <v>1</v>
      </c>
    </row>
    <row r="4" spans="2:20" ht="15.75" thickBot="1">
      <c r="D4" s="2" t="str">
        <f>'Magnetic Field Calculator'!C8</f>
        <v>H DD MM SS</v>
      </c>
      <c r="E4" s="2" t="str">
        <f>'Magnetic Field Calculator'!C9</f>
        <v>H DDD MM SS</v>
      </c>
      <c r="G4" s="2" t="s">
        <v>7</v>
      </c>
      <c r="H4" s="2" t="s">
        <v>11</v>
      </c>
      <c r="J4" s="17" t="str">
        <f>LEFT(SUBSTITUTE(G4," ",""),1)</f>
        <v>H</v>
      </c>
      <c r="K4" s="15" t="str">
        <f>LEFT(RIGHT(SUBSTITUTE(G4," ",""),6),2)</f>
        <v>DD</v>
      </c>
      <c r="L4" s="15" t="str">
        <f>LEFT(RIGHT(SUBSTITUTE(G4," ",""),4),2)</f>
        <v>MM</v>
      </c>
      <c r="M4" s="16" t="str">
        <f>RIGHT(SUBSTITUTE(G4," ",""),2)</f>
        <v>SS</v>
      </c>
      <c r="N4" s="17" t="str">
        <f>LEFT(SUBSTITUTE(H4," ",""),1)</f>
        <v>H</v>
      </c>
      <c r="O4" s="15" t="str">
        <f>LEFT(RIGHT(SUBSTITUTE(H4," ",""),7),3)</f>
        <v>DDD</v>
      </c>
      <c r="P4" s="15" t="str">
        <f>LEFT(RIGHT(SUBSTITUTE(H4," ",""),4),2)</f>
        <v>MM</v>
      </c>
      <c r="Q4" s="16" t="str">
        <f>RIGHT(SUBSTITUTE(H4," ",""),2)</f>
        <v>SS</v>
      </c>
      <c r="S4" s="11" t="s">
        <v>5</v>
      </c>
      <c r="T4" s="11" t="s">
        <v>16</v>
      </c>
    </row>
    <row r="5" spans="2:20" ht="15.75" thickBot="1">
      <c r="B5" s="3">
        <f>IF('Magnetic Field Calculator'!D4="INPUT",0,1)</f>
        <v>1</v>
      </c>
      <c r="C5" s="3" t="str">
        <f>IF(D4=G4,"W",IF(D4=G9,"X",IF(D4=G14,"Y",IF(D4=G19,"Z",))))</f>
        <v>W</v>
      </c>
      <c r="D5" s="19">
        <f>IF(B5=0,0,IF(C5="W",S5,IF(C5="X",S10,IF(C5="Y",S15,IF(C5="Z",S20,)))))</f>
        <v>60</v>
      </c>
      <c r="E5" s="1">
        <f>IF(B5=0,0,IF(C5="W",T5,IF(C5="X",T10,IF(C5="Y",T15,IF(C5="Z",T20,)))))</f>
        <v>180</v>
      </c>
      <c r="G5" s="19" t="str">
        <f>SUBSTITUTE('Magnetic Field Calculator'!D8," ","")</f>
        <v>N600000</v>
      </c>
      <c r="H5" s="1" t="str">
        <f>SUBSTITUTE('Magnetic Field Calculator'!D9," ","")</f>
        <v>E1800000</v>
      </c>
      <c r="J5" s="4" t="str">
        <f>UPPER(LEFT(G5,1))</f>
        <v>N</v>
      </c>
      <c r="K5" s="12" t="str">
        <f>LEFT(RIGHT(G5,LEN(G5)-1),2)</f>
        <v>60</v>
      </c>
      <c r="L5" s="12" t="str">
        <f>LEFT(RIGHT(G5,LEN(G5)-3),2)</f>
        <v>00</v>
      </c>
      <c r="M5" s="13" t="str">
        <f>RIGHT(G5,LEN(G5)-5)</f>
        <v>00</v>
      </c>
      <c r="N5" s="4" t="str">
        <f>UPPER(LEFT(H5,1))</f>
        <v>E</v>
      </c>
      <c r="O5" s="12" t="str">
        <f>LEFT(RIGHT(H5,LEN(H5)-1),3)</f>
        <v>180</v>
      </c>
      <c r="P5" s="12" t="str">
        <f>LEFT(RIGHT(H5,LEN(H5)-4),2)</f>
        <v>00</v>
      </c>
      <c r="Q5" s="13" t="str">
        <f>RIGHT(H5,LEN(H5)-6)</f>
        <v>00</v>
      </c>
      <c r="S5" s="18">
        <f>IF(J5="S",-1*(K5+(L5+M5/60)/60),K5+(L5+M5/60)/60)</f>
        <v>60</v>
      </c>
      <c r="T5" s="5">
        <f>IF(N5="W",-1*(O5+(P5+Q5/60)/60),O5+(P5+Q5/60)/60)</f>
        <v>180</v>
      </c>
    </row>
    <row r="6" spans="2:20" ht="15.75" thickBot="1"/>
    <row r="7" spans="2:20" ht="15.75" thickBot="1">
      <c r="B7" s="14" t="s">
        <v>8</v>
      </c>
      <c r="G7" s="150" t="s">
        <v>12</v>
      </c>
      <c r="H7" s="151"/>
      <c r="S7" s="150" t="s">
        <v>18</v>
      </c>
      <c r="T7" s="151"/>
    </row>
    <row r="8" spans="2:20">
      <c r="B8" s="14" t="s">
        <v>9</v>
      </c>
      <c r="G8" s="9" t="s">
        <v>0</v>
      </c>
      <c r="H8" s="9" t="s">
        <v>1</v>
      </c>
      <c r="J8" s="159" t="s">
        <v>0</v>
      </c>
      <c r="K8" s="160"/>
      <c r="L8" s="160"/>
      <c r="M8" s="161"/>
      <c r="N8" s="159" t="s">
        <v>1</v>
      </c>
      <c r="O8" s="160"/>
      <c r="P8" s="160"/>
      <c r="Q8" s="161"/>
      <c r="S8" s="10" t="s">
        <v>0</v>
      </c>
      <c r="T8" s="10" t="s">
        <v>1</v>
      </c>
    </row>
    <row r="9" spans="2:20" ht="15.75" thickBot="1">
      <c r="G9" s="2" t="s">
        <v>2</v>
      </c>
      <c r="H9" s="2" t="s">
        <v>3</v>
      </c>
      <c r="J9" s="17" t="str">
        <f>LEFT(SUBSTITUTE(G9," ",""),1)</f>
        <v>H</v>
      </c>
      <c r="K9" s="15" t="str">
        <f>LEFT(RIGHT(SUBSTITUTE(G9," ",""),8),2)</f>
        <v>DD</v>
      </c>
      <c r="L9" s="152" t="str">
        <f>RIGHT(SUBSTITUTE(G9," ",""),6)</f>
        <v>MM.MMM</v>
      </c>
      <c r="M9" s="153"/>
      <c r="N9" s="17" t="str">
        <f>LEFT(SUBSTITUTE(H9," ",""),1)</f>
        <v>H</v>
      </c>
      <c r="O9" s="15" t="str">
        <f>LEFT(RIGHT(SUBSTITUTE(H9," ",""),9),3)</f>
        <v>DDD</v>
      </c>
      <c r="P9" s="152" t="str">
        <f>RIGHT(SUBSTITUTE(H9," ",""),6)</f>
        <v>MM.MMM</v>
      </c>
      <c r="Q9" s="153"/>
      <c r="S9" s="11" t="s">
        <v>5</v>
      </c>
      <c r="T9" s="11" t="s">
        <v>16</v>
      </c>
    </row>
    <row r="10" spans="2:20" ht="15.75" thickBot="1">
      <c r="B10" s="14" t="s">
        <v>5</v>
      </c>
      <c r="G10" s="19" t="str">
        <f>SUBSTITUTE('Magnetic Field Calculator'!D8," ","")</f>
        <v>N600000</v>
      </c>
      <c r="H10" s="1" t="str">
        <f>SUBSTITUTE('Magnetic Field Calculator'!D9," ","")</f>
        <v>E1800000</v>
      </c>
      <c r="J10" s="4" t="str">
        <f>UPPER(LEFT(G10,1))</f>
        <v>N</v>
      </c>
      <c r="K10" s="12" t="str">
        <f>LEFT(RIGHT(G10,LEN(G10)-1),2)</f>
        <v>60</v>
      </c>
      <c r="L10" s="12" t="str">
        <f>RIGHT(G10,LEN(G10)-3)</f>
        <v>0000</v>
      </c>
      <c r="M10" s="13" t="str">
        <f t="shared" ref="M10" si="0">RIGHT(G10,LEN(G10)-5)</f>
        <v>00</v>
      </c>
      <c r="N10" s="4" t="str">
        <f>UPPER(LEFT(H10,1))</f>
        <v>E</v>
      </c>
      <c r="O10" s="12" t="str">
        <f>LEFT(RIGHT(H10,LEN(H10)-1),3)</f>
        <v>180</v>
      </c>
      <c r="P10" s="152" t="str">
        <f>RIGHT(H10,LEN(H10)-4)</f>
        <v>0000</v>
      </c>
      <c r="Q10" s="153" t="e">
        <f t="shared" ref="Q10" si="1">RIGHT(J10,LEN(J10)-5)</f>
        <v>#VALUE!</v>
      </c>
      <c r="S10" s="18">
        <f>IF(J10="S",-1*(K10+L10/60),K10+L10/60)</f>
        <v>60</v>
      </c>
      <c r="T10" s="5">
        <f>IF(N10="W",-1*(O10+P10/60),O10+P10/60)</f>
        <v>180</v>
      </c>
    </row>
    <row r="11" spans="2:20" ht="15.75" thickBot="1">
      <c r="B11" s="14" t="s">
        <v>6</v>
      </c>
    </row>
    <row r="12" spans="2:20" ht="15.75" thickBot="1">
      <c r="B12" s="14" t="s">
        <v>2</v>
      </c>
      <c r="G12" s="150" t="s">
        <v>13</v>
      </c>
      <c r="H12" s="151"/>
      <c r="S12" s="150" t="s">
        <v>20</v>
      </c>
      <c r="T12" s="151"/>
    </row>
    <row r="13" spans="2:20">
      <c r="B13" s="14" t="s">
        <v>7</v>
      </c>
      <c r="G13" s="9" t="s">
        <v>0</v>
      </c>
      <c r="H13" s="9" t="s">
        <v>1</v>
      </c>
      <c r="J13" s="159" t="s">
        <v>0</v>
      </c>
      <c r="K13" s="160"/>
      <c r="L13" s="160"/>
      <c r="M13" s="161"/>
      <c r="N13" s="159" t="s">
        <v>1</v>
      </c>
      <c r="O13" s="160"/>
      <c r="P13" s="160"/>
      <c r="Q13" s="161"/>
      <c r="S13" s="10" t="s">
        <v>0</v>
      </c>
      <c r="T13" s="10" t="s">
        <v>1</v>
      </c>
    </row>
    <row r="14" spans="2:20" ht="15.75" thickBot="1">
      <c r="G14" s="2" t="s">
        <v>6</v>
      </c>
      <c r="H14" s="2" t="s">
        <v>14</v>
      </c>
      <c r="J14" s="17" t="str">
        <f>LEFT(SUBSTITUTE(G14," ",""),1)</f>
        <v>H</v>
      </c>
      <c r="K14" s="152" t="str">
        <f>RIGHT(SUBSTITUTE(G14," ",""),8)</f>
        <v>DD.DDDDD</v>
      </c>
      <c r="L14" s="152"/>
      <c r="M14" s="153"/>
      <c r="N14" s="17" t="str">
        <f>LEFT(SUBSTITUTE(H14," ",""),1)</f>
        <v>H</v>
      </c>
      <c r="O14" s="152" t="str">
        <f>RIGHT(SUBSTITUTE(H14," ",""),9)</f>
        <v>DDD.DDDDD</v>
      </c>
      <c r="P14" s="152"/>
      <c r="Q14" s="153"/>
      <c r="S14" s="11" t="s">
        <v>5</v>
      </c>
      <c r="T14" s="11" t="s">
        <v>16</v>
      </c>
    </row>
    <row r="15" spans="2:20" ht="15.75" thickBot="1">
      <c r="B15" s="14" t="s">
        <v>37</v>
      </c>
      <c r="G15" s="19" t="str">
        <f>SUBSTITUTE('Magnetic Field Calculator'!D8," ","")</f>
        <v>N600000</v>
      </c>
      <c r="H15" s="1" t="str">
        <f>SUBSTITUTE('Magnetic Field Calculator'!D9," ","")</f>
        <v>E1800000</v>
      </c>
      <c r="J15" s="4" t="str">
        <f>UPPER(LEFT(G15,1))</f>
        <v>N</v>
      </c>
      <c r="K15" s="154" t="str">
        <f>RIGHT(G15,LEN(G15)-1)</f>
        <v>600000</v>
      </c>
      <c r="L15" s="154"/>
      <c r="M15" s="155"/>
      <c r="N15" s="4" t="str">
        <f>UPPER(LEFT(H15,1))</f>
        <v>E</v>
      </c>
      <c r="O15" s="154" t="str">
        <f>RIGHT(H15,LEN(H15)-1)</f>
        <v>1800000</v>
      </c>
      <c r="P15" s="154"/>
      <c r="Q15" s="155"/>
      <c r="S15" s="19" t="str">
        <f>IF(J15="S",-1*K15,K15)</f>
        <v>600000</v>
      </c>
      <c r="T15" s="1" t="str">
        <f>IF(N15="W",-1*O15,O15)</f>
        <v>1800000</v>
      </c>
    </row>
    <row r="16" spans="2:20" ht="15.75" thickBot="1">
      <c r="B16" s="14" t="s">
        <v>115</v>
      </c>
    </row>
    <row r="17" spans="2:20" ht="15.75" thickBot="1">
      <c r="G17" s="150" t="s">
        <v>15</v>
      </c>
      <c r="H17" s="151"/>
      <c r="S17" s="150" t="s">
        <v>19</v>
      </c>
      <c r="T17" s="151"/>
    </row>
    <row r="18" spans="2:20">
      <c r="B18" s="20">
        <v>3</v>
      </c>
      <c r="G18" s="9" t="s">
        <v>0</v>
      </c>
      <c r="H18" s="9" t="s">
        <v>1</v>
      </c>
      <c r="J18" s="156"/>
      <c r="K18" s="156"/>
      <c r="L18" s="156"/>
      <c r="M18" s="156"/>
      <c r="N18" s="156"/>
      <c r="O18" s="156"/>
      <c r="P18" s="156"/>
      <c r="Q18" s="156"/>
      <c r="S18" s="10" t="s">
        <v>0</v>
      </c>
      <c r="T18" s="10" t="s">
        <v>1</v>
      </c>
    </row>
    <row r="19" spans="2:20" ht="15.75" thickBot="1">
      <c r="B19" s="7">
        <f ca="1">DATE('Magnetic Field Calculator'!I8,'Magnetic Field Calculator'!H8,'Magnetic Field Calculator'!G8)</f>
        <v>42139</v>
      </c>
      <c r="G19" s="2" t="s">
        <v>5</v>
      </c>
      <c r="H19" s="2" t="s">
        <v>16</v>
      </c>
      <c r="S19" s="11" t="s">
        <v>5</v>
      </c>
      <c r="T19" s="11" t="s">
        <v>16</v>
      </c>
    </row>
    <row r="20" spans="2:20" ht="15.75" thickBot="1">
      <c r="B20" s="8">
        <f>DATE('Magnetic Field Calculator'!I9,'Magnetic Field Calculator'!H9,'Magnetic Field Calculator'!G9)</f>
        <v>43830</v>
      </c>
      <c r="G20" s="19" t="str">
        <f>SUBSTITUTE('Magnetic Field Calculator'!D8," ","")</f>
        <v>N600000</v>
      </c>
      <c r="H20" s="1" t="str">
        <f>SUBSTITUTE('Magnetic Field Calculator'!D9," ","")</f>
        <v>E1800000</v>
      </c>
      <c r="S20" s="19" t="str">
        <f>G20</f>
        <v>N600000</v>
      </c>
      <c r="T20" s="1" t="str">
        <f>H20</f>
        <v>E1800000</v>
      </c>
    </row>
    <row r="22" spans="2:20">
      <c r="B22" s="3">
        <v>1</v>
      </c>
    </row>
    <row r="23" spans="2:20">
      <c r="B23" s="3">
        <v>2</v>
      </c>
    </row>
    <row r="24" spans="2:20">
      <c r="B24" s="3">
        <v>3</v>
      </c>
    </row>
    <row r="25" spans="2:20">
      <c r="B25" s="3">
        <v>4</v>
      </c>
    </row>
    <row r="26" spans="2:20">
      <c r="B26" s="3">
        <v>5</v>
      </c>
    </row>
    <row r="27" spans="2:20">
      <c r="B27" s="3">
        <v>6</v>
      </c>
    </row>
    <row r="28" spans="2:20">
      <c r="B28" s="3">
        <v>7</v>
      </c>
    </row>
    <row r="29" spans="2:20">
      <c r="B29" s="3">
        <v>8</v>
      </c>
    </row>
    <row r="30" spans="2:20">
      <c r="B30" s="3">
        <v>9</v>
      </c>
    </row>
    <row r="31" spans="2:20">
      <c r="B31" s="3">
        <v>10</v>
      </c>
    </row>
    <row r="32" spans="2:20">
      <c r="B32" s="3">
        <v>11</v>
      </c>
    </row>
    <row r="33" spans="2:2">
      <c r="B33" s="3">
        <v>12</v>
      </c>
    </row>
    <row r="34" spans="2:2">
      <c r="B34" s="3">
        <v>13</v>
      </c>
    </row>
    <row r="35" spans="2:2">
      <c r="B35" s="3">
        <v>14</v>
      </c>
    </row>
    <row r="36" spans="2:2">
      <c r="B36" s="3">
        <v>15</v>
      </c>
    </row>
    <row r="37" spans="2:2">
      <c r="B37" s="3">
        <v>16</v>
      </c>
    </row>
    <row r="38" spans="2:2">
      <c r="B38" s="3">
        <v>17</v>
      </c>
    </row>
    <row r="39" spans="2:2">
      <c r="B39" s="3">
        <v>18</v>
      </c>
    </row>
    <row r="40" spans="2:2">
      <c r="B40" s="3">
        <v>19</v>
      </c>
    </row>
    <row r="41" spans="2:2">
      <c r="B41" s="3">
        <v>20</v>
      </c>
    </row>
    <row r="42" spans="2:2">
      <c r="B42" s="3">
        <v>21</v>
      </c>
    </row>
    <row r="43" spans="2:2">
      <c r="B43" s="3">
        <v>22</v>
      </c>
    </row>
    <row r="44" spans="2:2">
      <c r="B44" s="3">
        <v>23</v>
      </c>
    </row>
    <row r="45" spans="2:2">
      <c r="B45" s="3">
        <v>24</v>
      </c>
    </row>
    <row r="46" spans="2:2">
      <c r="B46" s="3">
        <v>25</v>
      </c>
    </row>
    <row r="47" spans="2:2">
      <c r="B47" s="3">
        <v>26</v>
      </c>
    </row>
    <row r="48" spans="2:2">
      <c r="B48" s="3">
        <v>27</v>
      </c>
    </row>
    <row r="49" spans="2:2">
      <c r="B49" s="3">
        <v>28</v>
      </c>
    </row>
    <row r="50" spans="2:2">
      <c r="B50" s="3">
        <v>29</v>
      </c>
    </row>
    <row r="51" spans="2:2">
      <c r="B51" s="3">
        <v>30</v>
      </c>
    </row>
    <row r="52" spans="2:2">
      <c r="B52" s="3">
        <v>31</v>
      </c>
    </row>
    <row r="54" spans="2:2">
      <c r="B54" s="14">
        <v>2015</v>
      </c>
    </row>
    <row r="55" spans="2:2">
      <c r="B55" s="14">
        <v>2016</v>
      </c>
    </row>
    <row r="56" spans="2:2">
      <c r="B56" s="14">
        <v>2017</v>
      </c>
    </row>
    <row r="57" spans="2:2">
      <c r="B57" s="14">
        <v>2018</v>
      </c>
    </row>
    <row r="58" spans="2:2">
      <c r="B58" s="14">
        <v>2019</v>
      </c>
    </row>
  </sheetData>
  <sheetProtection sheet="1" objects="1" scenarios="1" selectLockedCells="1"/>
  <mergeCells count="24">
    <mergeCell ref="J3:M3"/>
    <mergeCell ref="N3:Q3"/>
    <mergeCell ref="J8:M8"/>
    <mergeCell ref="N8:Q8"/>
    <mergeCell ref="J13:M13"/>
    <mergeCell ref="N13:Q13"/>
    <mergeCell ref="D2:E2"/>
    <mergeCell ref="G2:H2"/>
    <mergeCell ref="G7:H7"/>
    <mergeCell ref="G12:H12"/>
    <mergeCell ref="G17:H17"/>
    <mergeCell ref="K15:M15"/>
    <mergeCell ref="K14:M14"/>
    <mergeCell ref="P9:Q9"/>
    <mergeCell ref="J18:M18"/>
    <mergeCell ref="N18:Q18"/>
    <mergeCell ref="L9:M9"/>
    <mergeCell ref="P10:Q10"/>
    <mergeCell ref="S2:T2"/>
    <mergeCell ref="S7:T7"/>
    <mergeCell ref="S12:T12"/>
    <mergeCell ref="S17:T17"/>
    <mergeCell ref="O14:Q14"/>
    <mergeCell ref="O15:Q15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Y106"/>
  <sheetViews>
    <sheetView zoomScale="80" zoomScaleNormal="80" workbookViewId="0">
      <selection activeCell="G4" sqref="G4"/>
    </sheetView>
  </sheetViews>
  <sheetFormatPr baseColWidth="10" defaultColWidth="9.140625" defaultRowHeight="15"/>
  <cols>
    <col min="1" max="1" width="2.85546875" style="37" customWidth="1"/>
    <col min="2" max="2" width="37.42578125" style="37" customWidth="1"/>
    <col min="3" max="3" width="21" style="37" customWidth="1"/>
    <col min="4" max="4" width="2.85546875" style="21" customWidth="1"/>
    <col min="5" max="10" width="11" style="37" customWidth="1"/>
    <col min="11" max="11" width="2.85546875" style="37" customWidth="1"/>
    <col min="12" max="13" width="14.5703125" style="37" customWidth="1"/>
    <col min="14" max="14" width="2.85546875" style="37" customWidth="1"/>
    <col min="15" max="17" width="18.85546875" style="37" customWidth="1"/>
    <col min="18" max="18" width="2.85546875" style="37" customWidth="1"/>
    <col min="19" max="21" width="19" style="37" customWidth="1"/>
    <col min="22" max="22" width="3" style="37" customWidth="1"/>
    <col min="23" max="25" width="17.140625" style="37" customWidth="1"/>
    <col min="26" max="26" width="2.7109375" style="37" customWidth="1"/>
    <col min="27" max="16384" width="9.140625" style="37"/>
  </cols>
  <sheetData>
    <row r="1" spans="2:25" ht="15.75" thickBot="1"/>
    <row r="2" spans="2:25" ht="15.75" thickBot="1">
      <c r="B2" s="147" t="s">
        <v>21</v>
      </c>
      <c r="C2" s="149"/>
      <c r="D2" s="38"/>
      <c r="E2" s="162" t="s">
        <v>86</v>
      </c>
      <c r="F2" s="163"/>
      <c r="G2" s="163"/>
      <c r="H2" s="163"/>
      <c r="I2" s="163"/>
      <c r="J2" s="129">
        <v>2015</v>
      </c>
      <c r="K2" s="39"/>
      <c r="L2" s="147" t="s">
        <v>78</v>
      </c>
      <c r="M2" s="149"/>
      <c r="N2" s="40"/>
      <c r="O2" s="147" t="s">
        <v>80</v>
      </c>
      <c r="P2" s="148"/>
      <c r="Q2" s="149"/>
      <c r="S2" s="147" t="s">
        <v>68</v>
      </c>
      <c r="T2" s="148"/>
      <c r="U2" s="149"/>
      <c r="W2" s="147" t="s">
        <v>72</v>
      </c>
      <c r="X2" s="148"/>
      <c r="Y2" s="149"/>
    </row>
    <row r="3" spans="2:25" ht="18.75" thickBot="1">
      <c r="B3" s="41" t="s">
        <v>66</v>
      </c>
      <c r="C3" s="83">
        <v>6378137</v>
      </c>
      <c r="D3" s="38"/>
      <c r="E3" s="42" t="s">
        <v>26</v>
      </c>
      <c r="F3" s="43" t="s">
        <v>27</v>
      </c>
      <c r="G3" s="44" t="s">
        <v>28</v>
      </c>
      <c r="H3" s="44" t="s">
        <v>29</v>
      </c>
      <c r="I3" s="44" t="s">
        <v>32</v>
      </c>
      <c r="J3" s="45" t="s">
        <v>33</v>
      </c>
      <c r="L3" s="46" t="s">
        <v>30</v>
      </c>
      <c r="M3" s="45" t="s">
        <v>31</v>
      </c>
      <c r="N3" s="47"/>
      <c r="O3" s="46" t="s">
        <v>34</v>
      </c>
      <c r="P3" s="44" t="s">
        <v>35</v>
      </c>
      <c r="Q3" s="45" t="s">
        <v>79</v>
      </c>
      <c r="R3" s="47"/>
      <c r="S3" s="46" t="s">
        <v>69</v>
      </c>
      <c r="T3" s="44" t="s">
        <v>70</v>
      </c>
      <c r="U3" s="45" t="s">
        <v>71</v>
      </c>
      <c r="V3" s="47"/>
      <c r="W3" s="48" t="s">
        <v>73</v>
      </c>
      <c r="X3" s="49" t="s">
        <v>74</v>
      </c>
      <c r="Y3" s="50" t="s">
        <v>75</v>
      </c>
    </row>
    <row r="4" spans="2:25">
      <c r="B4" s="51" t="s">
        <v>67</v>
      </c>
      <c r="C4" s="63">
        <f>C3*(1-C6)</f>
        <v>6356752.3142451793</v>
      </c>
      <c r="D4" s="38"/>
      <c r="E4" s="52">
        <v>1</v>
      </c>
      <c r="F4" s="53">
        <v>0</v>
      </c>
      <c r="G4" s="130">
        <v>-29438.5</v>
      </c>
      <c r="H4" s="130">
        <v>0</v>
      </c>
      <c r="I4" s="130">
        <v>10.7</v>
      </c>
      <c r="J4" s="131">
        <v>0</v>
      </c>
      <c r="L4" s="54">
        <f t="shared" ref="L4:L35" si="0">G4+($C$29-$J$2)*I4</f>
        <v>-29438.5</v>
      </c>
      <c r="M4" s="55">
        <f t="shared" ref="M4:M35" si="1">H4+($C$29-$J$2)*J4</f>
        <v>0</v>
      </c>
      <c r="N4" s="21"/>
      <c r="O4" s="56">
        <f>SIN($C$17)*(2*F4+1)*1</f>
        <v>0.86458769977883343</v>
      </c>
      <c r="P4" s="57">
        <f t="shared" ref="P4:P35" si="2">IF(F4=0,O4,SQRT(2*FACT(E4-F4)/FACT(E4+F4))*O4)</f>
        <v>0.86458769977883343</v>
      </c>
      <c r="Q4" s="58">
        <f>((E4+1)*TAN($C$17)*P4)-(SQRT(((E4+1)^2)-(F4^2))*1/COS($C$17)*P6)</f>
        <v>0.50248194931872536</v>
      </c>
      <c r="R4" s="21"/>
      <c r="S4" s="59">
        <f t="shared" ref="S4:S35" si="3">-1*($C$23/$C$19)^(E4+2)*(L4*COS(F4*$C$18)+M4*SIN(F4*$C$18))*Q4</f>
        <v>14176.610966230644</v>
      </c>
      <c r="T4" s="60">
        <f t="shared" ref="T4:T35" si="4">($C$23/$C$19)^(E4+2)*F4*(L4*SIN(F4*$C$18)-M4*COS(F4*$C$18))*P4/COS($C$17)</f>
        <v>0</v>
      </c>
      <c r="U4" s="61">
        <f t="shared" ref="U4:U35" si="5">-1*(E4+1)*($C$23/$C$19)^(E4+2)*(L4*COS(F4*$C$18)+M4*SIN(F4*$C$18))*P4</f>
        <v>48785.527450571746</v>
      </c>
      <c r="V4" s="21"/>
      <c r="W4" s="62">
        <f t="shared" ref="W4:W35" si="6">-1*($C$23/$C$19)^(E4+2)*(I4*COS(F4*$C$18)+J4*SIN(F4*$C$18))*Q4</f>
        <v>-5.1527672041261567</v>
      </c>
      <c r="X4" s="60">
        <f t="shared" ref="X4:X35" si="7">($C$23/$C$19)^(E4+2)*(F4*(I4*SIN(F4*$C$18)-J4*COS(F4*$C$18))*P4)/COS($C$17)</f>
        <v>0</v>
      </c>
      <c r="Y4" s="61">
        <f t="shared" ref="Y4:Y35" si="8">-1*(E4+1)*($C$23/$C$19)^(E4+2)*(I4*COS(F4*$C$18)+J4*SIN(F4*$C$18))*P4</f>
        <v>-17.732056447207487</v>
      </c>
    </row>
    <row r="5" spans="2:25">
      <c r="B5" s="51" t="s">
        <v>22</v>
      </c>
      <c r="C5" s="63">
        <v>298.25722356300003</v>
      </c>
      <c r="D5" s="40"/>
      <c r="E5" s="64">
        <v>1</v>
      </c>
      <c r="F5" s="65">
        <v>1</v>
      </c>
      <c r="G5" s="132">
        <v>-1501.1</v>
      </c>
      <c r="H5" s="132">
        <v>4796.2</v>
      </c>
      <c r="I5" s="132">
        <v>17.899999999999999</v>
      </c>
      <c r="J5" s="133">
        <v>-26.8</v>
      </c>
      <c r="L5" s="66">
        <f t="shared" si="0"/>
        <v>-1501.1</v>
      </c>
      <c r="M5" s="67">
        <f t="shared" si="1"/>
        <v>4796.2</v>
      </c>
      <c r="N5" s="21"/>
      <c r="O5" s="68">
        <f>FACTDOUBLE((2*E5-1))*(1-SIN($C$17)^2)^(E5/2)</f>
        <v>0.50248194931872503</v>
      </c>
      <c r="P5" s="69">
        <f t="shared" si="2"/>
        <v>0.50248194931872503</v>
      </c>
      <c r="Q5" s="70">
        <f>((E5+1)*TAN($C$17)*P5)-(SQRT(((E5+1)^2)-(F5^2))*1/COS($C$17)*P7)</f>
        <v>-0.86458769977883332</v>
      </c>
      <c r="R5" s="21"/>
      <c r="S5" s="71">
        <f t="shared" si="3"/>
        <v>1243.812613687064</v>
      </c>
      <c r="T5" s="72">
        <f t="shared" si="4"/>
        <v>4596.5666724027442</v>
      </c>
      <c r="U5" s="73">
        <f t="shared" si="5"/>
        <v>-1445.7605327315464</v>
      </c>
      <c r="V5" s="21"/>
      <c r="W5" s="74">
        <f t="shared" si="6"/>
        <v>-14.831953757243646</v>
      </c>
      <c r="X5" s="72">
        <f t="shared" si="7"/>
        <v>-25.684497481421445</v>
      </c>
      <c r="Y5" s="73">
        <f t="shared" si="8"/>
        <v>17.240099617543581</v>
      </c>
    </row>
    <row r="6" spans="2:25">
      <c r="B6" s="51" t="s">
        <v>23</v>
      </c>
      <c r="C6" s="63">
        <f>1/C5</f>
        <v>3.3528106647474805E-3</v>
      </c>
      <c r="D6" s="75"/>
      <c r="E6" s="64">
        <v>2</v>
      </c>
      <c r="F6" s="65">
        <v>0</v>
      </c>
      <c r="G6" s="132">
        <v>-2445.3000000000002</v>
      </c>
      <c r="H6" s="132">
        <v>0</v>
      </c>
      <c r="I6" s="132">
        <v>-8.6</v>
      </c>
      <c r="J6" s="133">
        <v>0</v>
      </c>
      <c r="L6" s="66">
        <f t="shared" si="0"/>
        <v>-2445.3000000000002</v>
      </c>
      <c r="M6" s="67">
        <f t="shared" si="1"/>
        <v>0</v>
      </c>
      <c r="N6" s="21"/>
      <c r="O6" s="68">
        <f>(SIN($C$17)*(2*E6-1)*O4-(E6+F6-1))/(E6-F6)</f>
        <v>0.62126783591328127</v>
      </c>
      <c r="P6" s="69">
        <f t="shared" si="2"/>
        <v>0.62126783591328127</v>
      </c>
      <c r="Q6" s="70">
        <f>((E6+1)*TAN($C$17)*P6)-(SQRT(((E6+1)^2)-(F6^2))*1/COS($C$17)*P9)</f>
        <v>1.3033191382255827</v>
      </c>
      <c r="R6" s="21"/>
      <c r="S6" s="71">
        <f t="shared" si="3"/>
        <v>3011.3735112867384</v>
      </c>
      <c r="T6" s="72">
        <f t="shared" si="4"/>
        <v>0</v>
      </c>
      <c r="U6" s="73">
        <f t="shared" si="5"/>
        <v>4306.396145684178</v>
      </c>
      <c r="V6" s="21"/>
      <c r="W6" s="74">
        <f t="shared" si="6"/>
        <v>10.590852736705497</v>
      </c>
      <c r="X6" s="72">
        <f t="shared" si="7"/>
        <v>0</v>
      </c>
      <c r="Y6" s="73">
        <f t="shared" si="8"/>
        <v>15.14538373732627</v>
      </c>
    </row>
    <row r="7" spans="2:25" ht="18" thickBot="1">
      <c r="B7" s="76" t="s">
        <v>52</v>
      </c>
      <c r="C7" s="77">
        <f>C6*(2-C6)</f>
        <v>6.6943799901413165E-3</v>
      </c>
      <c r="D7" s="78"/>
      <c r="E7" s="64">
        <v>2</v>
      </c>
      <c r="F7" s="65">
        <v>1</v>
      </c>
      <c r="G7" s="132">
        <v>3012.5</v>
      </c>
      <c r="H7" s="132">
        <v>-2845.6</v>
      </c>
      <c r="I7" s="132">
        <v>-3.3</v>
      </c>
      <c r="J7" s="133">
        <v>-27.1</v>
      </c>
      <c r="L7" s="66">
        <f t="shared" si="0"/>
        <v>3012.5</v>
      </c>
      <c r="M7" s="67">
        <f t="shared" si="1"/>
        <v>-2845.6</v>
      </c>
      <c r="N7" s="21"/>
      <c r="O7" s="68">
        <f>(SIN($C$17)*(2*E7-1)*O5)/(E7-F7)</f>
        <v>1.3033191382255827</v>
      </c>
      <c r="P7" s="69">
        <f t="shared" si="2"/>
        <v>0.75247165529453119</v>
      </c>
      <c r="Q7" s="70">
        <f>((E7+1)*TAN($C$17)*P7)-(SQRT(((E7+1)^2)-(F7^2))*1/COS($C$17)*P10)</f>
        <v>-0.85740634002393135</v>
      </c>
      <c r="R7" s="21"/>
      <c r="S7" s="71">
        <f t="shared" si="3"/>
        <v>-2440.5935074878712</v>
      </c>
      <c r="T7" s="72">
        <f t="shared" si="4"/>
        <v>-4026.4771394037061</v>
      </c>
      <c r="U7" s="73">
        <f t="shared" si="5"/>
        <v>6425.69579003542</v>
      </c>
      <c r="V7" s="21"/>
      <c r="W7" s="74">
        <f t="shared" si="6"/>
        <v>2.6735132198207356</v>
      </c>
      <c r="X7" s="72">
        <f t="shared" si="7"/>
        <v>-38.346053724290293</v>
      </c>
      <c r="Y7" s="73">
        <f t="shared" si="8"/>
        <v>-7.0389364670927339</v>
      </c>
    </row>
    <row r="8" spans="2:25" ht="15.75" thickBot="1">
      <c r="D8" s="79"/>
      <c r="E8" s="64">
        <v>2</v>
      </c>
      <c r="F8" s="65">
        <v>2</v>
      </c>
      <c r="G8" s="132">
        <v>1676.6</v>
      </c>
      <c r="H8" s="132">
        <v>-642</v>
      </c>
      <c r="I8" s="132">
        <v>2.4</v>
      </c>
      <c r="J8" s="133">
        <v>-13.3</v>
      </c>
      <c r="L8" s="66">
        <f t="shared" si="0"/>
        <v>1676.6</v>
      </c>
      <c r="M8" s="67">
        <f t="shared" si="1"/>
        <v>-642</v>
      </c>
      <c r="N8" s="21"/>
      <c r="O8" s="68">
        <f>FACTDOUBLE((2*E8-1))*(1-SIN($C$17)^2)^(E8/2)</f>
        <v>0.75746432817343723</v>
      </c>
      <c r="P8" s="69">
        <f t="shared" si="2"/>
        <v>0.21866111688623649</v>
      </c>
      <c r="Q8" s="70">
        <f>((E8+1)*TAN($C$17)*P8)-(SQRT(((E8+1)^2)-(F8^2))*1/COS($C$17)*P11)</f>
        <v>-0.75247165529453075</v>
      </c>
      <c r="R8" s="21"/>
      <c r="S8" s="71">
        <f t="shared" si="3"/>
        <v>1192.0687758310789</v>
      </c>
      <c r="T8" s="72">
        <f t="shared" si="4"/>
        <v>527.95611706305408</v>
      </c>
      <c r="U8" s="73">
        <f t="shared" si="5"/>
        <v>-1039.2115959227961</v>
      </c>
      <c r="V8" s="21"/>
      <c r="W8" s="74">
        <f t="shared" si="6"/>
        <v>1.7064088405073321</v>
      </c>
      <c r="X8" s="72">
        <f t="shared" si="7"/>
        <v>10.937408655667642</v>
      </c>
      <c r="Y8" s="73">
        <f t="shared" si="8"/>
        <v>-1.4875986104107797</v>
      </c>
    </row>
    <row r="9" spans="2:25" ht="15.75" thickBot="1">
      <c r="B9" s="147" t="s">
        <v>65</v>
      </c>
      <c r="C9" s="149"/>
      <c r="D9" s="79"/>
      <c r="E9" s="64">
        <v>3</v>
      </c>
      <c r="F9" s="65">
        <v>0</v>
      </c>
      <c r="G9" s="132">
        <v>1351.1</v>
      </c>
      <c r="H9" s="132">
        <v>0</v>
      </c>
      <c r="I9" s="132">
        <v>3.1</v>
      </c>
      <c r="J9" s="133">
        <v>0</v>
      </c>
      <c r="L9" s="66">
        <f t="shared" si="0"/>
        <v>1351.1</v>
      </c>
      <c r="M9" s="67">
        <f t="shared" si="1"/>
        <v>0</v>
      </c>
      <c r="N9" s="21"/>
      <c r="O9" s="68">
        <f>(SIN($C$17)*(2*E9-1)*O6-(E9+F9-1)*O4)/(E9-F9)</f>
        <v>0.31884241547884035</v>
      </c>
      <c r="P9" s="69">
        <f t="shared" si="2"/>
        <v>0.31884241547884035</v>
      </c>
      <c r="Q9" s="70">
        <f>((E9+1)*TAN($C$17)*P9)-(SQRT(((E9+1)^2)-(F9^2))*1/COS($C$17)*P13)</f>
        <v>2.063361315512382</v>
      </c>
      <c r="R9" s="21"/>
      <c r="S9" s="71">
        <f t="shared" si="3"/>
        <v>-2597.1074010096295</v>
      </c>
      <c r="T9" s="72">
        <f t="shared" si="4"/>
        <v>0</v>
      </c>
      <c r="U9" s="73">
        <f t="shared" si="5"/>
        <v>-1605.2796779128419</v>
      </c>
      <c r="V9" s="21"/>
      <c r="W9" s="74">
        <f t="shared" si="6"/>
        <v>-5.9588727282435441</v>
      </c>
      <c r="X9" s="72">
        <f t="shared" si="7"/>
        <v>0</v>
      </c>
      <c r="Y9" s="73">
        <f t="shared" si="8"/>
        <v>-3.6831966557100215</v>
      </c>
    </row>
    <row r="10" spans="2:25">
      <c r="B10" s="80" t="s">
        <v>104</v>
      </c>
      <c r="C10" s="85">
        <f>'Coordinate Converter'!D5</f>
        <v>60</v>
      </c>
      <c r="D10" s="79"/>
      <c r="E10" s="64">
        <v>3</v>
      </c>
      <c r="F10" s="65">
        <v>1</v>
      </c>
      <c r="G10" s="132">
        <v>-2352.3000000000002</v>
      </c>
      <c r="H10" s="132">
        <v>-115.3</v>
      </c>
      <c r="I10" s="132">
        <v>-6.2</v>
      </c>
      <c r="J10" s="133">
        <v>8.4</v>
      </c>
      <c r="L10" s="66">
        <f t="shared" si="0"/>
        <v>-2352.3000000000002</v>
      </c>
      <c r="M10" s="67">
        <f t="shared" si="1"/>
        <v>-115.3</v>
      </c>
      <c r="N10" s="21"/>
      <c r="O10" s="68">
        <f>(SIN($C$17)*(2*E10-1)*O7-(E10+F10-1)*O5)/(E10-F10)</f>
        <v>2.0633613155123824</v>
      </c>
      <c r="P10" s="69">
        <f t="shared" si="2"/>
        <v>0.84236372966719764</v>
      </c>
      <c r="Q10" s="70">
        <f>((E10+1)*TAN($C$17)*P10)-(SQRT(((E10+1)^2)-(F10^2))*1/COS($C$17)*P14)</f>
        <v>-0.11260248824706931</v>
      </c>
      <c r="R10" s="21"/>
      <c r="S10" s="71">
        <f t="shared" si="3"/>
        <v>246.75606043852781</v>
      </c>
      <c r="T10" s="72">
        <f t="shared" si="4"/>
        <v>-180.06762346407231</v>
      </c>
      <c r="U10" s="73">
        <f t="shared" si="5"/>
        <v>-7383.7926186108998</v>
      </c>
      <c r="V10" s="21"/>
      <c r="W10" s="74">
        <f t="shared" si="6"/>
        <v>0.65037944765500688</v>
      </c>
      <c r="X10" s="72">
        <f t="shared" si="7"/>
        <v>13.118543253236808</v>
      </c>
      <c r="Y10" s="73">
        <f t="shared" si="8"/>
        <v>-19.461596835177307</v>
      </c>
    </row>
    <row r="11" spans="2:25">
      <c r="B11" s="51" t="s">
        <v>105</v>
      </c>
      <c r="C11" s="63">
        <f>C10*PI()/180</f>
        <v>1.0471975511965976</v>
      </c>
      <c r="D11" s="38"/>
      <c r="E11" s="64">
        <v>3</v>
      </c>
      <c r="F11" s="65">
        <v>2</v>
      </c>
      <c r="G11" s="132">
        <v>1225.5999999999999</v>
      </c>
      <c r="H11" s="132">
        <v>245</v>
      </c>
      <c r="I11" s="132">
        <v>-0.4</v>
      </c>
      <c r="J11" s="133">
        <v>-0.4</v>
      </c>
      <c r="L11" s="66">
        <f t="shared" si="0"/>
        <v>1225.5999999999999</v>
      </c>
      <c r="M11" s="67">
        <f t="shared" si="1"/>
        <v>245</v>
      </c>
      <c r="N11" s="21"/>
      <c r="O11" s="68">
        <f>(SIN($C$17)*(2*E11-1)*O8/(E11-F11))</f>
        <v>3.2744717057999577</v>
      </c>
      <c r="P11" s="69">
        <f t="shared" si="2"/>
        <v>0.42273247947302089</v>
      </c>
      <c r="Q11" s="70">
        <f>((E11+1)*TAN($C$17)*P11)-(SQRT(((E11+1)^2)-(F11^2))*1/COS($C$17)*P15)</f>
        <v>-1.2090519581413637</v>
      </c>
      <c r="R11" s="21"/>
      <c r="S11" s="71">
        <f t="shared" si="3"/>
        <v>1380.4505334600713</v>
      </c>
      <c r="T11" s="72">
        <f t="shared" si="4"/>
        <v>-384.03283965923038</v>
      </c>
      <c r="U11" s="73">
        <f t="shared" si="5"/>
        <v>-1930.6408558206881</v>
      </c>
      <c r="V11" s="21"/>
      <c r="W11" s="74">
        <f t="shared" si="6"/>
        <v>-0.45053868585511464</v>
      </c>
      <c r="X11" s="72">
        <f t="shared" si="7"/>
        <v>0.62699239128037565</v>
      </c>
      <c r="Y11" s="73">
        <f t="shared" si="8"/>
        <v>0.63010471795714362</v>
      </c>
    </row>
    <row r="12" spans="2:25">
      <c r="B12" s="51" t="s">
        <v>106</v>
      </c>
      <c r="C12" s="86">
        <f>IF('Coordinate Converter'!E5&lt;0,'Coordinate Converter'!E5+360,'Coordinate Converter'!E5)</f>
        <v>180</v>
      </c>
      <c r="D12" s="40"/>
      <c r="E12" s="64">
        <v>3</v>
      </c>
      <c r="F12" s="65">
        <v>3</v>
      </c>
      <c r="G12" s="132">
        <v>581.9</v>
      </c>
      <c r="H12" s="132">
        <v>-538.29999999999995</v>
      </c>
      <c r="I12" s="132">
        <v>-10.4</v>
      </c>
      <c r="J12" s="133">
        <v>2.2999999999999998</v>
      </c>
      <c r="L12" s="66">
        <f t="shared" si="0"/>
        <v>581.9</v>
      </c>
      <c r="M12" s="67">
        <f t="shared" si="1"/>
        <v>-538.29999999999995</v>
      </c>
      <c r="N12" s="21"/>
      <c r="O12" s="68">
        <f>FACTDOUBLE((2*E12-1))*(1-SIN($C$17)^2)^(E12/2)</f>
        <v>1.9030607607999359</v>
      </c>
      <c r="P12" s="69">
        <f t="shared" si="2"/>
        <v>0.10030010883034461</v>
      </c>
      <c r="Q12" s="70">
        <f>((E12+1)*TAN($C$17)*P12)-(SQRT(((E12+1)^2)-(F12^2))*1/COS($C$17)*P16)</f>
        <v>-0.51773943620523244</v>
      </c>
      <c r="R12" s="21"/>
      <c r="S12" s="71">
        <f t="shared" si="3"/>
        <v>-280.66401619423738</v>
      </c>
      <c r="T12" s="72">
        <f t="shared" si="4"/>
        <v>-300.29887516646033</v>
      </c>
      <c r="U12" s="73">
        <f t="shared" si="5"/>
        <v>217.48879378687835</v>
      </c>
      <c r="V12" s="21"/>
      <c r="W12" s="74">
        <f t="shared" si="6"/>
        <v>5.0161638914247604</v>
      </c>
      <c r="X12" s="72">
        <f t="shared" si="7"/>
        <v>1.2830901223905966</v>
      </c>
      <c r="Y12" s="73">
        <f t="shared" si="8"/>
        <v>-3.8870655703446197</v>
      </c>
    </row>
    <row r="13" spans="2:25">
      <c r="B13" s="51" t="s">
        <v>107</v>
      </c>
      <c r="C13" s="63">
        <f>C12*PI()/180</f>
        <v>3.1415926535897931</v>
      </c>
      <c r="D13" s="79"/>
      <c r="E13" s="64">
        <v>4</v>
      </c>
      <c r="F13" s="65">
        <v>0</v>
      </c>
      <c r="G13" s="132">
        <v>907.2</v>
      </c>
      <c r="H13" s="132">
        <v>0</v>
      </c>
      <c r="I13" s="132">
        <v>-0.4</v>
      </c>
      <c r="J13" s="133">
        <v>0</v>
      </c>
      <c r="L13" s="66">
        <f t="shared" si="0"/>
        <v>907.2</v>
      </c>
      <c r="M13" s="67">
        <f t="shared" si="1"/>
        <v>0</v>
      </c>
      <c r="N13" s="21"/>
      <c r="O13" s="68">
        <f>(SIN($C$17)*(2*E13-1)*O9-(E13+F13-1)*O6)/(E13-F13)</f>
        <v>1.6466776598900001E-2</v>
      </c>
      <c r="P13" s="69">
        <f t="shared" si="2"/>
        <v>1.6466776598900001E-2</v>
      </c>
      <c r="Q13" s="70">
        <f>((E13+1)*TAN($C$17)*P13)-(SQRT(((E13+1)^2)-(F13^2))*1/COS($C$17)*P18)</f>
        <v>2.4248070474126724</v>
      </c>
      <c r="R13" s="21"/>
      <c r="S13" s="71">
        <f t="shared" si="3"/>
        <v>-2020.4717630656842</v>
      </c>
      <c r="T13" s="72">
        <f t="shared" si="4"/>
        <v>0</v>
      </c>
      <c r="U13" s="73">
        <f t="shared" si="5"/>
        <v>-68.604751834354872</v>
      </c>
      <c r="V13" s="21"/>
      <c r="W13" s="74">
        <f t="shared" si="6"/>
        <v>0.89086056572561023</v>
      </c>
      <c r="X13" s="72">
        <f t="shared" si="7"/>
        <v>0</v>
      </c>
      <c r="Y13" s="73">
        <f t="shared" si="8"/>
        <v>3.0249008745306387E-2</v>
      </c>
    </row>
    <row r="14" spans="2:25" ht="15.75" thickBot="1">
      <c r="B14" s="81" t="s">
        <v>77</v>
      </c>
      <c r="C14" s="122">
        <f>IF('Magnetic Field Calculator'!H4="meters",'Magnetic Field Calculator'!I4,'Magnetic Field Calculator'!I4*0.3048)</f>
        <v>100000</v>
      </c>
      <c r="D14" s="79"/>
      <c r="E14" s="64">
        <v>4</v>
      </c>
      <c r="F14" s="65">
        <v>1</v>
      </c>
      <c r="G14" s="132">
        <v>813.7</v>
      </c>
      <c r="H14" s="132">
        <v>283.39999999999998</v>
      </c>
      <c r="I14" s="132">
        <v>0.8</v>
      </c>
      <c r="J14" s="133">
        <v>-0.6</v>
      </c>
      <c r="L14" s="66">
        <f t="shared" si="0"/>
        <v>813.7</v>
      </c>
      <c r="M14" s="67">
        <f t="shared" si="1"/>
        <v>283.39999999999998</v>
      </c>
      <c r="N14" s="21"/>
      <c r="O14" s="68">
        <f>(SIN($C$17)*(2*E14-1)*O10-(E14+F14-1)*O7)/(E14-F14)</f>
        <v>2.4248070474126728</v>
      </c>
      <c r="P14" s="69">
        <f t="shared" si="2"/>
        <v>0.76679131562519431</v>
      </c>
      <c r="Q14" s="70">
        <f>((E14+1)*TAN($C$17)*P14)-(SQRT(((E14+1)^2)-(F14^2))*1/COS($C$17)*P19)</f>
        <v>1.2152224336238042</v>
      </c>
      <c r="R14" s="21"/>
      <c r="S14" s="71">
        <f t="shared" si="3"/>
        <v>908.22332750433713</v>
      </c>
      <c r="T14" s="72">
        <f t="shared" si="4"/>
        <v>397.21818671988188</v>
      </c>
      <c r="U14" s="73">
        <f t="shared" si="5"/>
        <v>2865.392132787651</v>
      </c>
      <c r="V14" s="21"/>
      <c r="W14" s="74">
        <f t="shared" si="6"/>
        <v>0.89293186924354162</v>
      </c>
      <c r="X14" s="72">
        <f t="shared" si="7"/>
        <v>-0.84097004951280518</v>
      </c>
      <c r="Y14" s="73">
        <f t="shared" si="8"/>
        <v>2.8171484653190624</v>
      </c>
    </row>
    <row r="15" spans="2:25" ht="15.75" thickBot="1">
      <c r="D15" s="38"/>
      <c r="E15" s="64">
        <v>4</v>
      </c>
      <c r="F15" s="65">
        <v>2</v>
      </c>
      <c r="G15" s="132">
        <v>120.3</v>
      </c>
      <c r="H15" s="132">
        <v>-188.6</v>
      </c>
      <c r="I15" s="132">
        <v>-9.1999999999999993</v>
      </c>
      <c r="J15" s="133">
        <v>5.3</v>
      </c>
      <c r="L15" s="66">
        <f t="shared" si="0"/>
        <v>120.3</v>
      </c>
      <c r="M15" s="67">
        <f t="shared" si="1"/>
        <v>-188.6</v>
      </c>
      <c r="N15" s="21"/>
      <c r="O15" s="68">
        <f>(SIN($C$17)*(2*E15-1)*O11-(E15+F15-1)*O8)/(E15-F15)</f>
        <v>8.0150770399460107</v>
      </c>
      <c r="P15" s="69">
        <f t="shared" si="2"/>
        <v>0.59740857020723592</v>
      </c>
      <c r="Q15" s="70">
        <f>((E15+1)*TAN($C$17)*P15)-(SQRT(((E15+1)^2)-(F15^2))*1/COS($C$17)*P20)</f>
        <v>-1.1973766263178325</v>
      </c>
      <c r="R15" s="21"/>
      <c r="S15" s="71">
        <f t="shared" si="3"/>
        <v>132.30277752152685</v>
      </c>
      <c r="T15" s="72">
        <f t="shared" si="4"/>
        <v>411.90325665323991</v>
      </c>
      <c r="U15" s="73">
        <f t="shared" si="5"/>
        <v>-330.04992504589478</v>
      </c>
      <c r="V15" s="21"/>
      <c r="W15" s="74">
        <f t="shared" si="6"/>
        <v>-10.11791814794719</v>
      </c>
      <c r="X15" s="72">
        <f t="shared" si="7"/>
        <v>-11.575224073500376</v>
      </c>
      <c r="Y15" s="73">
        <f t="shared" si="8"/>
        <v>25.240725772420877</v>
      </c>
    </row>
    <row r="16" spans="2:25" ht="15.75" thickBot="1">
      <c r="B16" s="162" t="s">
        <v>64</v>
      </c>
      <c r="C16" s="164"/>
      <c r="D16" s="38"/>
      <c r="E16" s="64">
        <v>4</v>
      </c>
      <c r="F16" s="65">
        <v>3</v>
      </c>
      <c r="G16" s="132">
        <v>-335</v>
      </c>
      <c r="H16" s="132">
        <v>180.9</v>
      </c>
      <c r="I16" s="132">
        <v>4</v>
      </c>
      <c r="J16" s="133">
        <v>3</v>
      </c>
      <c r="L16" s="66">
        <f t="shared" si="0"/>
        <v>-335</v>
      </c>
      <c r="M16" s="67">
        <f t="shared" si="1"/>
        <v>180.9</v>
      </c>
      <c r="N16" s="21"/>
      <c r="O16" s="68">
        <f>(SIN($C$17)*(2*E16-1)*O12/(E16-F16))</f>
        <v>11.517540480035613</v>
      </c>
      <c r="P16" s="69">
        <f t="shared" si="2"/>
        <v>0.22943489818175916</v>
      </c>
      <c r="Q16" s="70">
        <f>((E16+1)*TAN($C$17)*P16)-(SQRT(((E16+1)^2)-(F16^2))*1/COS($C$17)*P21)</f>
        <v>-1.0509774923259056</v>
      </c>
      <c r="R16" s="21"/>
      <c r="S16" s="71">
        <f t="shared" si="3"/>
        <v>323.37823071986071</v>
      </c>
      <c r="T16" s="72">
        <f t="shared" si="4"/>
        <v>227.59954606785672</v>
      </c>
      <c r="U16" s="73">
        <f t="shared" si="5"/>
        <v>-352.97735670442506</v>
      </c>
      <c r="V16" s="21"/>
      <c r="W16" s="74">
        <f t="shared" si="6"/>
        <v>-3.8612326056102759</v>
      </c>
      <c r="X16" s="72">
        <f t="shared" si="7"/>
        <v>3.774453500296135</v>
      </c>
      <c r="Y16" s="73">
        <f t="shared" si="8"/>
        <v>4.2146550054259695</v>
      </c>
    </row>
    <row r="17" spans="2:25">
      <c r="B17" s="82" t="s">
        <v>108</v>
      </c>
      <c r="C17" s="83">
        <f>ASIN(C22/C19)</f>
        <v>1.0443292640999418</v>
      </c>
      <c r="D17" s="79"/>
      <c r="E17" s="64">
        <v>4</v>
      </c>
      <c r="F17" s="65">
        <v>4</v>
      </c>
      <c r="G17" s="132">
        <v>70.3</v>
      </c>
      <c r="H17" s="132">
        <v>-329.5</v>
      </c>
      <c r="I17" s="132">
        <v>-4.2</v>
      </c>
      <c r="J17" s="133">
        <v>-5.3</v>
      </c>
      <c r="L17" s="66">
        <f t="shared" si="0"/>
        <v>70.3</v>
      </c>
      <c r="M17" s="67">
        <f t="shared" si="1"/>
        <v>-329.5</v>
      </c>
      <c r="N17" s="21"/>
      <c r="O17" s="68">
        <f>FACTDOUBLE((2*E17-1))*(1-SIN($C$17)^2)^(E17/2)</f>
        <v>6.6937757653110932</v>
      </c>
      <c r="P17" s="69">
        <f t="shared" si="2"/>
        <v>4.7143942235427526E-2</v>
      </c>
      <c r="Q17" s="70">
        <f>((E17+1)*TAN($C$17)*P17)-(SQRT(((E17+1)^2)-(F17^2))*1/COS($C$17)*P22)</f>
        <v>-0.32446994469033386</v>
      </c>
      <c r="R17" s="21"/>
      <c r="S17" s="71">
        <f t="shared" si="3"/>
        <v>20.950884276930694</v>
      </c>
      <c r="T17" s="72">
        <f t="shared" si="4"/>
        <v>113.57778616725186</v>
      </c>
      <c r="U17" s="73">
        <f t="shared" si="5"/>
        <v>-15.220320006455314</v>
      </c>
      <c r="V17" s="21"/>
      <c r="W17" s="74">
        <f t="shared" si="6"/>
        <v>-1.2516886765733808</v>
      </c>
      <c r="X17" s="72">
        <f t="shared" si="7"/>
        <v>1.8268961052699095</v>
      </c>
      <c r="Y17" s="73">
        <f t="shared" si="8"/>
        <v>0.90932210564882132</v>
      </c>
    </row>
    <row r="18" spans="2:25">
      <c r="B18" s="51" t="s">
        <v>107</v>
      </c>
      <c r="C18" s="63">
        <f>C13</f>
        <v>3.1415926535897931</v>
      </c>
      <c r="D18" s="79"/>
      <c r="E18" s="64">
        <v>5</v>
      </c>
      <c r="F18" s="65">
        <v>0</v>
      </c>
      <c r="G18" s="132">
        <v>-232.6</v>
      </c>
      <c r="H18" s="132">
        <v>0</v>
      </c>
      <c r="I18" s="132">
        <v>-0.2</v>
      </c>
      <c r="J18" s="133">
        <v>0</v>
      </c>
      <c r="L18" s="66">
        <f t="shared" si="0"/>
        <v>-232.6</v>
      </c>
      <c r="M18" s="67">
        <f t="shared" si="1"/>
        <v>0</v>
      </c>
      <c r="N18" s="21"/>
      <c r="O18" s="68">
        <f>(SIN($C$17)*(2*E18-1)*O13-(E18+F18-1)*O9)/(E18-F18)</f>
        <v>-0.22944738187872549</v>
      </c>
      <c r="P18" s="69">
        <f t="shared" si="2"/>
        <v>-0.22944738187872549</v>
      </c>
      <c r="Q18" s="70">
        <f t="shared" ref="Q18:Q23" si="9">((E18+1)*TAN($C$17)*P18)-(SQRT(((E18+1)^2)-(F18^2))*1/COS($C$17)*P24)</f>
        <v>2.1378296375520822</v>
      </c>
      <c r="R18" s="21"/>
      <c r="S18" s="71">
        <f t="shared" si="3"/>
        <v>450.29879891973133</v>
      </c>
      <c r="T18" s="72">
        <f t="shared" si="4"/>
        <v>0</v>
      </c>
      <c r="U18" s="73">
        <f t="shared" si="5"/>
        <v>-289.97599806944362</v>
      </c>
      <c r="V18" s="21"/>
      <c r="W18" s="74">
        <f t="shared" si="6"/>
        <v>0.38718727336176384</v>
      </c>
      <c r="X18" s="72">
        <f t="shared" si="7"/>
        <v>0</v>
      </c>
      <c r="Y18" s="73">
        <f t="shared" si="8"/>
        <v>-0.24933447813365747</v>
      </c>
    </row>
    <row r="19" spans="2:25">
      <c r="B19" s="84" t="s">
        <v>36</v>
      </c>
      <c r="C19" s="63">
        <f>SQRT(C21^2+C22^2)</f>
        <v>6462131.8065781994</v>
      </c>
      <c r="D19" s="79"/>
      <c r="E19" s="64">
        <v>5</v>
      </c>
      <c r="F19" s="65">
        <v>1</v>
      </c>
      <c r="G19" s="132">
        <v>360.1</v>
      </c>
      <c r="H19" s="132">
        <v>47.4</v>
      </c>
      <c r="I19" s="132">
        <v>0.1</v>
      </c>
      <c r="J19" s="133">
        <v>0.4</v>
      </c>
      <c r="L19" s="66">
        <f t="shared" si="0"/>
        <v>360.1</v>
      </c>
      <c r="M19" s="67">
        <f t="shared" si="1"/>
        <v>47.4</v>
      </c>
      <c r="N19" s="21"/>
      <c r="O19" s="68">
        <f>(SIN($C$17)*(2*E19-1)*O14-(E19+F19-1)*O10)/(E19-F19)</f>
        <v>2.137829637552084</v>
      </c>
      <c r="P19" s="69">
        <f t="shared" si="2"/>
        <v>0.55198523888452389</v>
      </c>
      <c r="Q19" s="70">
        <f t="shared" si="9"/>
        <v>2.7270565376944127</v>
      </c>
      <c r="R19" s="21"/>
      <c r="S19" s="71">
        <f t="shared" si="3"/>
        <v>889.27328943260602</v>
      </c>
      <c r="T19" s="72">
        <f t="shared" si="4"/>
        <v>47.15234814962438</v>
      </c>
      <c r="U19" s="73">
        <f t="shared" si="5"/>
        <v>1079.9902143196898</v>
      </c>
      <c r="V19" s="21"/>
      <c r="W19" s="74">
        <f t="shared" si="6"/>
        <v>0.24695176046448361</v>
      </c>
      <c r="X19" s="72">
        <f t="shared" si="7"/>
        <v>0.39791011096729406</v>
      </c>
      <c r="Y19" s="73">
        <f t="shared" si="8"/>
        <v>0.29991397231871403</v>
      </c>
    </row>
    <row r="20" spans="2:25" ht="18">
      <c r="B20" s="84" t="s">
        <v>53</v>
      </c>
      <c r="C20" s="63">
        <f>C3/SQRT(1-(C7*SIN(C11)^2))</f>
        <v>6394209.1738478942</v>
      </c>
      <c r="D20" s="38"/>
      <c r="E20" s="64">
        <v>5</v>
      </c>
      <c r="F20" s="65">
        <v>2</v>
      </c>
      <c r="G20" s="132">
        <v>192.4</v>
      </c>
      <c r="H20" s="132">
        <v>196.9</v>
      </c>
      <c r="I20" s="132">
        <v>-1.4</v>
      </c>
      <c r="J20" s="133">
        <v>1.6</v>
      </c>
      <c r="L20" s="66">
        <f t="shared" si="0"/>
        <v>192.4</v>
      </c>
      <c r="M20" s="67">
        <f t="shared" si="1"/>
        <v>196.9</v>
      </c>
      <c r="N20" s="21"/>
      <c r="O20" s="68">
        <f>(SIN($C$17)*(2*E20-1)*O15-(E20+F20-1)*O11)/(E20-F20)</f>
        <v>14.240267652951269</v>
      </c>
      <c r="P20" s="69">
        <f t="shared" si="2"/>
        <v>0.69485391206608915</v>
      </c>
      <c r="Q20" s="70">
        <f t="shared" si="9"/>
        <v>-0.5296523271105702</v>
      </c>
      <c r="R20" s="21"/>
      <c r="S20" s="71">
        <f t="shared" si="3"/>
        <v>92.281349535285202</v>
      </c>
      <c r="T20" s="72">
        <f t="shared" si="4"/>
        <v>-493.13603412454501</v>
      </c>
      <c r="U20" s="73">
        <f t="shared" si="5"/>
        <v>-726.38657609762538</v>
      </c>
      <c r="V20" s="21"/>
      <c r="W20" s="74">
        <f t="shared" si="6"/>
        <v>-0.67148591137941438</v>
      </c>
      <c r="X20" s="72">
        <f t="shared" si="7"/>
        <v>-4.0071998709968089</v>
      </c>
      <c r="Y20" s="73">
        <f t="shared" si="8"/>
        <v>5.2855572065315801</v>
      </c>
    </row>
    <row r="21" spans="2:25">
      <c r="B21" s="84" t="s">
        <v>81</v>
      </c>
      <c r="C21" s="63">
        <f>(C20+C14)*COS(C11)</f>
        <v>3247104.586923948</v>
      </c>
      <c r="D21" s="40"/>
      <c r="E21" s="64">
        <v>5</v>
      </c>
      <c r="F21" s="65">
        <v>3</v>
      </c>
      <c r="G21" s="132">
        <v>-141</v>
      </c>
      <c r="H21" s="132">
        <v>-119.4</v>
      </c>
      <c r="I21" s="132">
        <v>0</v>
      </c>
      <c r="J21" s="133">
        <v>-1.1000000000000001</v>
      </c>
      <c r="L21" s="66">
        <f t="shared" si="0"/>
        <v>-141</v>
      </c>
      <c r="M21" s="67">
        <f t="shared" si="1"/>
        <v>-119.4</v>
      </c>
      <c r="N21" s="21"/>
      <c r="O21" s="68">
        <f>(SIN($C$17)*(2*E21-1)*O16-(E21+F21-1)*O12)/(E21-F21)</f>
        <v>38.149944575546385</v>
      </c>
      <c r="P21" s="69">
        <f t="shared" si="2"/>
        <v>0.37998254334345416</v>
      </c>
      <c r="Q21" s="70">
        <f t="shared" si="9"/>
        <v>-1.442642016858394</v>
      </c>
      <c r="R21" s="21"/>
      <c r="S21" s="71">
        <f t="shared" si="3"/>
        <v>184.20256529739072</v>
      </c>
      <c r="T21" s="72">
        <f t="shared" si="4"/>
        <v>-245.29389885563194</v>
      </c>
      <c r="U21" s="73">
        <f t="shared" si="5"/>
        <v>-291.1065604668089</v>
      </c>
      <c r="V21" s="21"/>
      <c r="W21" s="74">
        <f t="shared" si="6"/>
        <v>-5.281766746611335E-16</v>
      </c>
      <c r="X21" s="72">
        <f t="shared" si="7"/>
        <v>-2.2598265388709802</v>
      </c>
      <c r="Y21" s="73">
        <f t="shared" si="8"/>
        <v>8.3470984690774733E-16</v>
      </c>
    </row>
    <row r="22" spans="2:25">
      <c r="B22" s="84" t="s">
        <v>83</v>
      </c>
      <c r="C22" s="63">
        <f>(C20*(1-C7)+C14)*SIN(C11)</f>
        <v>5587079.6743170824</v>
      </c>
      <c r="D22" s="79"/>
      <c r="E22" s="64">
        <v>5</v>
      </c>
      <c r="F22" s="65">
        <v>4</v>
      </c>
      <c r="G22" s="132">
        <v>-157.4</v>
      </c>
      <c r="H22" s="132">
        <v>16.100000000000001</v>
      </c>
      <c r="I22" s="132">
        <v>1.3</v>
      </c>
      <c r="J22" s="133">
        <v>3.3</v>
      </c>
      <c r="L22" s="66">
        <f t="shared" si="0"/>
        <v>-157.4</v>
      </c>
      <c r="M22" s="67">
        <f t="shared" si="1"/>
        <v>16.100000000000001</v>
      </c>
      <c r="N22" s="21"/>
      <c r="O22" s="68">
        <f>(SIN($C$17)*(2*E22-1)*O17/(E22-F22))</f>
        <v>52.086205725890565</v>
      </c>
      <c r="P22" s="69">
        <f t="shared" si="2"/>
        <v>0.12228021772750343</v>
      </c>
      <c r="Q22" s="70">
        <f t="shared" si="9"/>
        <v>-0.77053122940246177</v>
      </c>
      <c r="R22" s="21"/>
      <c r="S22" s="71">
        <f t="shared" si="3"/>
        <v>-109.82797036905609</v>
      </c>
      <c r="T22" s="72">
        <f t="shared" si="4"/>
        <v>-14.191868883386503</v>
      </c>
      <c r="U22" s="73">
        <f t="shared" si="5"/>
        <v>104.57555216584242</v>
      </c>
      <c r="V22" s="21"/>
      <c r="W22" s="74">
        <f t="shared" si="6"/>
        <v>0.90709251257797163</v>
      </c>
      <c r="X22" s="72">
        <f t="shared" si="7"/>
        <v>-2.9088923798245765</v>
      </c>
      <c r="Y22" s="73">
        <f t="shared" si="8"/>
        <v>-0.86371167608383093</v>
      </c>
    </row>
    <row r="23" spans="2:25" ht="15.75" thickBot="1">
      <c r="B23" s="76" t="s">
        <v>82</v>
      </c>
      <c r="C23" s="77">
        <v>6371200</v>
      </c>
      <c r="D23" s="79"/>
      <c r="E23" s="64">
        <v>5</v>
      </c>
      <c r="F23" s="65">
        <v>5</v>
      </c>
      <c r="G23" s="132">
        <v>4.3</v>
      </c>
      <c r="H23" s="132">
        <v>100.1</v>
      </c>
      <c r="I23" s="132">
        <v>3.8</v>
      </c>
      <c r="J23" s="133">
        <v>0.1</v>
      </c>
      <c r="L23" s="66">
        <f t="shared" si="0"/>
        <v>4.3</v>
      </c>
      <c r="M23" s="67">
        <f t="shared" si="1"/>
        <v>100.1</v>
      </c>
      <c r="N23" s="21"/>
      <c r="O23" s="68">
        <f>FACTDOUBLE((2*E23-1))*(1-SIN($C$17)^2)^(E23/2)</f>
        <v>30.271513453703626</v>
      </c>
      <c r="P23" s="69">
        <f t="shared" si="2"/>
        <v>2.2473339667237482E-2</v>
      </c>
      <c r="Q23" s="70">
        <f t="shared" si="9"/>
        <v>-0.19334200040010474</v>
      </c>
      <c r="R23" s="21"/>
      <c r="S23" s="71">
        <f t="shared" si="3"/>
        <v>-0.7528572688370343</v>
      </c>
      <c r="T23" s="72">
        <f t="shared" si="4"/>
        <v>20.270721976112437</v>
      </c>
      <c r="U23" s="73">
        <f t="shared" si="5"/>
        <v>0.52505561404693823</v>
      </c>
      <c r="V23" s="21"/>
      <c r="W23" s="74">
        <f t="shared" si="6"/>
        <v>-0.66531572594901656</v>
      </c>
      <c r="X23" s="72">
        <f t="shared" si="7"/>
        <v>2.0250471504608299E-2</v>
      </c>
      <c r="Y23" s="73">
        <f t="shared" si="8"/>
        <v>0.46400263566939387</v>
      </c>
    </row>
    <row r="24" spans="2:25" ht="15.75" thickBot="1">
      <c r="D24" s="79"/>
      <c r="E24" s="64">
        <v>6</v>
      </c>
      <c r="F24" s="65">
        <v>0</v>
      </c>
      <c r="G24" s="132">
        <v>69.5</v>
      </c>
      <c r="H24" s="132">
        <v>0</v>
      </c>
      <c r="I24" s="132">
        <v>-0.5</v>
      </c>
      <c r="J24" s="133">
        <v>0</v>
      </c>
      <c r="L24" s="66">
        <f t="shared" si="0"/>
        <v>69.5</v>
      </c>
      <c r="M24" s="67">
        <f t="shared" si="1"/>
        <v>0</v>
      </c>
      <c r="N24" s="21"/>
      <c r="O24" s="68">
        <f>(SIN($C$17)*(2*E24-1)*O18-(E24+F24-1)*O13)/(E24-F24)</f>
        <v>-0.37741418471688853</v>
      </c>
      <c r="P24" s="69">
        <f t="shared" si="2"/>
        <v>-0.37741418471688853</v>
      </c>
      <c r="Q24" s="70">
        <f t="shared" ref="Q24:Q30" si="10">((E24+1)*TAN($C$17)*P24)-(SQRT(((E24+1)^2)-(F24^2))*1/COS($C$17)*P31)</f>
        <v>1.156582202575172</v>
      </c>
      <c r="R24" s="21"/>
      <c r="S24" s="71">
        <f t="shared" si="3"/>
        <v>-71.766988174083764</v>
      </c>
      <c r="T24" s="72">
        <f t="shared" si="4"/>
        <v>0</v>
      </c>
      <c r="U24" s="73">
        <f t="shared" si="5"/>
        <v>163.93227813553156</v>
      </c>
      <c r="V24" s="21"/>
      <c r="W24" s="74">
        <f t="shared" si="6"/>
        <v>0.51630926743945149</v>
      </c>
      <c r="X24" s="72">
        <f t="shared" si="7"/>
        <v>0</v>
      </c>
      <c r="Y24" s="73">
        <f t="shared" si="8"/>
        <v>-1.1793689074498674</v>
      </c>
    </row>
    <row r="25" spans="2:25" ht="15.75" thickBot="1">
      <c r="B25" s="162" t="s">
        <v>84</v>
      </c>
      <c r="C25" s="164"/>
      <c r="D25" s="38"/>
      <c r="E25" s="64">
        <v>6</v>
      </c>
      <c r="F25" s="65">
        <v>1</v>
      </c>
      <c r="G25" s="132">
        <v>67.400000000000006</v>
      </c>
      <c r="H25" s="132">
        <v>-20.7</v>
      </c>
      <c r="I25" s="132">
        <v>-0.2</v>
      </c>
      <c r="J25" s="133">
        <v>0</v>
      </c>
      <c r="L25" s="66">
        <f t="shared" si="0"/>
        <v>67.400000000000006</v>
      </c>
      <c r="M25" s="67">
        <f t="shared" si="1"/>
        <v>-20.7</v>
      </c>
      <c r="N25" s="21"/>
      <c r="O25" s="68">
        <f>(SIN($C$17)*(2*E25-1)*O19-(E25+F25-1)*O14)/(E25-F25)</f>
        <v>1.1565822025751742</v>
      </c>
      <c r="P25" s="69">
        <f t="shared" si="2"/>
        <v>0.25238692813045166</v>
      </c>
      <c r="Q25" s="70">
        <f t="shared" si="10"/>
        <v>3.8933237564200072</v>
      </c>
      <c r="R25" s="21"/>
      <c r="S25" s="71">
        <f t="shared" si="3"/>
        <v>234.28464575013095</v>
      </c>
      <c r="T25" s="72">
        <f t="shared" si="4"/>
        <v>-9.2828246964715362</v>
      </c>
      <c r="U25" s="73">
        <f t="shared" si="5"/>
        <v>106.31344841551213</v>
      </c>
      <c r="V25" s="21"/>
      <c r="W25" s="74">
        <f t="shared" si="6"/>
        <v>-0.69520666394697606</v>
      </c>
      <c r="X25" s="72">
        <f t="shared" si="7"/>
        <v>-1.0988249598134963E-17</v>
      </c>
      <c r="Y25" s="73">
        <f t="shared" si="8"/>
        <v>-0.31547017333979865</v>
      </c>
    </row>
    <row r="26" spans="2:25">
      <c r="B26" s="82" t="s">
        <v>110</v>
      </c>
      <c r="C26" s="123">
        <f>'Magnetic Field Calculator'!H6</f>
        <v>2015</v>
      </c>
      <c r="D26" s="38"/>
      <c r="E26" s="64">
        <v>6</v>
      </c>
      <c r="F26" s="65">
        <v>2</v>
      </c>
      <c r="G26" s="132">
        <v>72.8</v>
      </c>
      <c r="H26" s="132">
        <v>33.200000000000003</v>
      </c>
      <c r="I26" s="132">
        <v>-0.6</v>
      </c>
      <c r="J26" s="133">
        <v>-2.2000000000000002</v>
      </c>
      <c r="L26" s="66">
        <f t="shared" si="0"/>
        <v>72.8</v>
      </c>
      <c r="M26" s="67">
        <f t="shared" si="1"/>
        <v>33.200000000000003</v>
      </c>
      <c r="N26" s="21"/>
      <c r="O26" s="68">
        <f>(SIN($C$17)*(2*E26-1)*O20-(E26+F26-1)*O15)/(E26-F26)</f>
        <v>19.831505879419655</v>
      </c>
      <c r="P26" s="69">
        <f t="shared" si="2"/>
        <v>0.68425195986414555</v>
      </c>
      <c r="Q26" s="70">
        <f t="shared" si="10"/>
        <v>0.75845975656554288</v>
      </c>
      <c r="R26" s="21"/>
      <c r="S26" s="71">
        <f t="shared" si="3"/>
        <v>-49.297776622839478</v>
      </c>
      <c r="T26" s="72">
        <f t="shared" si="4"/>
        <v>-80.728535717671306</v>
      </c>
      <c r="U26" s="73">
        <f t="shared" si="5"/>
        <v>-311.32133228410055</v>
      </c>
      <c r="V26" s="21"/>
      <c r="W26" s="74">
        <f t="shared" si="6"/>
        <v>0.40630035678164372</v>
      </c>
      <c r="X26" s="72">
        <f t="shared" si="7"/>
        <v>5.3494812824962885</v>
      </c>
      <c r="Y26" s="73">
        <f t="shared" si="8"/>
        <v>2.56583515618764</v>
      </c>
    </row>
    <row r="27" spans="2:25">
      <c r="B27" s="51" t="s">
        <v>38</v>
      </c>
      <c r="C27" s="86">
        <f ca="1">YEAR('Coordinate Converter'!B19)+('Coordinate Converter'!B19-DATE(YEAR('Coordinate Converter'!B19),1,1))/(DATE(YEAR('Coordinate Converter'!B19),12,31)-DATE(YEAR('Coordinate Converter'!B19),1,0))</f>
        <v>2015.3671232876711</v>
      </c>
      <c r="D27" s="38"/>
      <c r="E27" s="64">
        <v>6</v>
      </c>
      <c r="F27" s="65">
        <v>3</v>
      </c>
      <c r="G27" s="132">
        <v>-129.80000000000001</v>
      </c>
      <c r="H27" s="132">
        <v>58.8</v>
      </c>
      <c r="I27" s="132">
        <v>2.4</v>
      </c>
      <c r="J27" s="133">
        <v>-0.7</v>
      </c>
      <c r="L27" s="66">
        <f t="shared" si="0"/>
        <v>-129.80000000000001</v>
      </c>
      <c r="M27" s="67">
        <f t="shared" si="1"/>
        <v>58.8</v>
      </c>
      <c r="N27" s="21"/>
      <c r="O27" s="68">
        <f>(SIN($C$17)*(2*E27-1)*O21-(E27+F27-1)*O16)/(E27-F27)</f>
        <v>90.227792419864343</v>
      </c>
      <c r="P27" s="69">
        <f t="shared" si="2"/>
        <v>0.51885910037032934</v>
      </c>
      <c r="Q27" s="70">
        <f t="shared" si="10"/>
        <v>-1.4272113941266804</v>
      </c>
      <c r="R27" s="21"/>
      <c r="S27" s="71">
        <f t="shared" si="3"/>
        <v>165.39653526212527</v>
      </c>
      <c r="T27" s="72">
        <f t="shared" si="4"/>
        <v>162.62636877339281</v>
      </c>
      <c r="U27" s="73">
        <f t="shared" si="5"/>
        <v>-420.90645079309797</v>
      </c>
      <c r="V27" s="21"/>
      <c r="W27" s="74">
        <f t="shared" si="6"/>
        <v>-3.0581793885138726</v>
      </c>
      <c r="X27" s="72">
        <f t="shared" si="7"/>
        <v>-1.9360281996832465</v>
      </c>
      <c r="Y27" s="73">
        <f t="shared" si="8"/>
        <v>7.7825537897028898</v>
      </c>
    </row>
    <row r="28" spans="2:25">
      <c r="B28" s="51" t="s">
        <v>39</v>
      </c>
      <c r="C28" s="86">
        <f>YEAR('Coordinate Converter'!B20)+('Coordinate Converter'!B20-DATE(YEAR('Coordinate Converter'!B20),1,1))/(DATE(YEAR('Coordinate Converter'!B20),12,31)-DATE(YEAR('Coordinate Converter'!B20),1,0))</f>
        <v>2019.9972602739726</v>
      </c>
      <c r="D28" s="38"/>
      <c r="E28" s="64">
        <v>6</v>
      </c>
      <c r="F28" s="65">
        <v>4</v>
      </c>
      <c r="G28" s="132">
        <v>-29</v>
      </c>
      <c r="H28" s="132">
        <v>-66.5</v>
      </c>
      <c r="I28" s="132">
        <v>-1.1000000000000001</v>
      </c>
      <c r="J28" s="133">
        <v>0.1</v>
      </c>
      <c r="L28" s="66">
        <f t="shared" si="0"/>
        <v>-29</v>
      </c>
      <c r="M28" s="67">
        <f t="shared" si="1"/>
        <v>-66.5</v>
      </c>
      <c r="N28" s="21"/>
      <c r="O28" s="68">
        <f>(SIN($C$17)*(2*E28-1)*O22-(E28+F28-1)*O17)/(E28-F28)</f>
        <v>217.5600194492516</v>
      </c>
      <c r="P28" s="69">
        <f t="shared" si="2"/>
        <v>0.22841655027503779</v>
      </c>
      <c r="Q28" s="70">
        <f t="shared" si="10"/>
        <v>-1.2698228888480871</v>
      </c>
      <c r="R28" s="21"/>
      <c r="S28" s="71">
        <f t="shared" si="3"/>
        <v>-32.877937076531047</v>
      </c>
      <c r="T28" s="72">
        <f t="shared" si="4"/>
        <v>107.95733387006213</v>
      </c>
      <c r="U28" s="73">
        <f t="shared" si="5"/>
        <v>41.398729879530372</v>
      </c>
      <c r="V28" s="21"/>
      <c r="W28" s="74">
        <f t="shared" si="6"/>
        <v>-1.2470941649718688</v>
      </c>
      <c r="X28" s="72">
        <f t="shared" si="7"/>
        <v>-0.16234185544370153</v>
      </c>
      <c r="Y28" s="73">
        <f t="shared" si="8"/>
        <v>1.5702966506028779</v>
      </c>
    </row>
    <row r="29" spans="2:25" ht="15.75" thickBot="1">
      <c r="B29" s="81" t="s">
        <v>25</v>
      </c>
      <c r="C29" s="77">
        <f>IF('Coordinate Converter'!B18=3,C26,IF('Coordinate Converter'!B18=2,'WMM2015 Calculations'!C28,'WMM2015 Calculations'!C27))</f>
        <v>2015</v>
      </c>
      <c r="D29" s="38"/>
      <c r="E29" s="64">
        <v>6</v>
      </c>
      <c r="F29" s="65">
        <v>5</v>
      </c>
      <c r="G29" s="132">
        <v>13.2</v>
      </c>
      <c r="H29" s="132">
        <v>7.3</v>
      </c>
      <c r="I29" s="132">
        <v>0.3</v>
      </c>
      <c r="J29" s="133">
        <v>1</v>
      </c>
      <c r="L29" s="66">
        <f t="shared" si="0"/>
        <v>13.2</v>
      </c>
      <c r="M29" s="67">
        <f t="shared" si="1"/>
        <v>7.3</v>
      </c>
      <c r="N29" s="21"/>
      <c r="O29" s="68">
        <f>(SIN($C$17)*(2*E29-1)*O23/(E29-F29))</f>
        <v>287.8961600433779</v>
      </c>
      <c r="P29" s="69">
        <f t="shared" si="2"/>
        <v>6.444259361602224E-2</v>
      </c>
      <c r="Q29" s="70">
        <f t="shared" si="10"/>
        <v>-0.51695788790683095</v>
      </c>
      <c r="R29" s="21"/>
      <c r="S29" s="71">
        <f t="shared" si="3"/>
        <v>-6.0924575029163783</v>
      </c>
      <c r="T29" s="72">
        <f t="shared" si="4"/>
        <v>4.1793507570826947</v>
      </c>
      <c r="U29" s="73">
        <f t="shared" si="5"/>
        <v>5.3162866940886948</v>
      </c>
      <c r="V29" s="21"/>
      <c r="W29" s="74">
        <f t="shared" si="6"/>
        <v>-0.13846494324809927</v>
      </c>
      <c r="X29" s="72">
        <f t="shared" si="7"/>
        <v>0.57251380234009464</v>
      </c>
      <c r="Y29" s="73">
        <f t="shared" si="8"/>
        <v>0.12082469759292469</v>
      </c>
    </row>
    <row r="30" spans="2:25" ht="15.75" thickBot="1">
      <c r="D30" s="38"/>
      <c r="E30" s="64">
        <v>6</v>
      </c>
      <c r="F30" s="65">
        <v>6</v>
      </c>
      <c r="G30" s="132">
        <v>-70.900000000000006</v>
      </c>
      <c r="H30" s="132">
        <v>62.5</v>
      </c>
      <c r="I30" s="132">
        <v>1.5</v>
      </c>
      <c r="J30" s="133">
        <v>1.3</v>
      </c>
      <c r="L30" s="66">
        <f t="shared" si="0"/>
        <v>-70.900000000000006</v>
      </c>
      <c r="M30" s="67">
        <f t="shared" si="1"/>
        <v>62.5</v>
      </c>
      <c r="N30" s="21"/>
      <c r="O30" s="68">
        <f>FACTDOUBLE((2*E30-1))*(1-SIN($C$17)^2)^(E30/2)</f>
        <v>167.31977997949511</v>
      </c>
      <c r="P30" s="69">
        <f t="shared" si="2"/>
        <v>1.0811695372101832E-2</v>
      </c>
      <c r="Q30" s="70">
        <f t="shared" si="10"/>
        <v>-0.11161784631446425</v>
      </c>
      <c r="R30" s="21"/>
      <c r="S30" s="71">
        <f t="shared" si="3"/>
        <v>-7.0655062458773612</v>
      </c>
      <c r="T30" s="72">
        <f t="shared" si="4"/>
        <v>-7.2039056157174706</v>
      </c>
      <c r="U30" s="73">
        <f t="shared" si="5"/>
        <v>4.7907277009650349</v>
      </c>
      <c r="V30" s="21"/>
      <c r="W30" s="74">
        <f t="shared" si="6"/>
        <v>0.14948179645720774</v>
      </c>
      <c r="X30" s="72">
        <f t="shared" si="7"/>
        <v>-0.14984123680692366</v>
      </c>
      <c r="Y30" s="73">
        <f t="shared" si="8"/>
        <v>-0.10135531102182713</v>
      </c>
    </row>
    <row r="31" spans="2:25" ht="15.75" thickBot="1">
      <c r="B31" s="147" t="s">
        <v>76</v>
      </c>
      <c r="C31" s="149"/>
      <c r="D31" s="38"/>
      <c r="E31" s="64">
        <v>7</v>
      </c>
      <c r="F31" s="65">
        <v>0</v>
      </c>
      <c r="G31" s="132">
        <v>81.599999999999994</v>
      </c>
      <c r="H31" s="132">
        <v>0</v>
      </c>
      <c r="I31" s="132">
        <v>0.2</v>
      </c>
      <c r="J31" s="133">
        <v>0</v>
      </c>
      <c r="L31" s="66">
        <f t="shared" si="0"/>
        <v>81.599999999999994</v>
      </c>
      <c r="M31" s="67">
        <f t="shared" si="1"/>
        <v>0</v>
      </c>
      <c r="N31" s="21"/>
      <c r="O31" s="68">
        <f t="shared" ref="O31:O36" si="11">(SIN($C$17)*(2*E31-1)*O24-(E31+F31-1)*O18)/(E31-F31)</f>
        <v>-0.40933075892789511</v>
      </c>
      <c r="P31" s="69">
        <f t="shared" si="2"/>
        <v>-0.40933075892789511</v>
      </c>
      <c r="Q31" s="70">
        <f t="shared" ref="Q31:Q38" si="12">((E31+1)*TAN($C$17)*P31)-(SQRT(((E31+1)^2)-(F31^2))*1/COS($C$17)*P39)</f>
        <v>-0.32753996052995316</v>
      </c>
      <c r="R31" s="21"/>
      <c r="S31" s="71">
        <f t="shared" si="3"/>
        <v>23.526823179413537</v>
      </c>
      <c r="T31" s="72">
        <f t="shared" si="4"/>
        <v>0</v>
      </c>
      <c r="U31" s="73">
        <f t="shared" si="5"/>
        <v>235.21410631204034</v>
      </c>
      <c r="V31" s="21"/>
      <c r="W31" s="74">
        <f t="shared" si="6"/>
        <v>5.7663782302484166E-2</v>
      </c>
      <c r="X31" s="72">
        <f t="shared" si="7"/>
        <v>0</v>
      </c>
      <c r="Y31" s="73">
        <f t="shared" si="8"/>
        <v>0.57650516252951078</v>
      </c>
    </row>
    <row r="32" spans="2:25">
      <c r="B32" s="48" t="s">
        <v>46</v>
      </c>
      <c r="C32" s="120">
        <f>S94*COS(C17-C11)-U94*SIN(C17-C11)</f>
        <v>17044.112248159603</v>
      </c>
      <c r="D32" s="38"/>
      <c r="E32" s="64">
        <v>7</v>
      </c>
      <c r="F32" s="65">
        <v>1</v>
      </c>
      <c r="G32" s="132">
        <v>-76.099999999999994</v>
      </c>
      <c r="H32" s="132">
        <v>-54.1</v>
      </c>
      <c r="I32" s="132">
        <v>-0.2</v>
      </c>
      <c r="J32" s="133">
        <v>0.7</v>
      </c>
      <c r="L32" s="66">
        <f t="shared" si="0"/>
        <v>-76.099999999999994</v>
      </c>
      <c r="M32" s="67">
        <f t="shared" si="1"/>
        <v>-54.1</v>
      </c>
      <c r="N32" s="21"/>
      <c r="O32" s="68">
        <f t="shared" si="11"/>
        <v>-0.32753996052995049</v>
      </c>
      <c r="P32" s="69">
        <f t="shared" si="2"/>
        <v>-6.1899234285582909E-2</v>
      </c>
      <c r="Q32" s="70">
        <f t="shared" si="12"/>
        <v>4.2254436199244552</v>
      </c>
      <c r="R32" s="21"/>
      <c r="S32" s="71">
        <f t="shared" si="3"/>
        <v>-283.05172465733369</v>
      </c>
      <c r="T32" s="72">
        <f t="shared" si="4"/>
        <v>5.8663897606181594</v>
      </c>
      <c r="U32" s="73">
        <f t="shared" si="5"/>
        <v>33.171778578488471</v>
      </c>
      <c r="V32" s="21"/>
      <c r="W32" s="74">
        <f t="shared" si="6"/>
        <v>-0.7438941515304438</v>
      </c>
      <c r="X32" s="72">
        <f t="shared" si="7"/>
        <v>-7.5905227956242341E-2</v>
      </c>
      <c r="Y32" s="73">
        <f t="shared" si="8"/>
        <v>8.7179444358708252E-2</v>
      </c>
    </row>
    <row r="33" spans="2:25">
      <c r="B33" s="84" t="s">
        <v>45</v>
      </c>
      <c r="C33" s="63">
        <f>T94</f>
        <v>1035.3188712662093</v>
      </c>
      <c r="D33" s="38"/>
      <c r="E33" s="64">
        <v>7</v>
      </c>
      <c r="F33" s="65">
        <v>2</v>
      </c>
      <c r="G33" s="132">
        <v>-6.8</v>
      </c>
      <c r="H33" s="132">
        <v>-19.399999999999999</v>
      </c>
      <c r="I33" s="132">
        <v>-0.4</v>
      </c>
      <c r="J33" s="133">
        <v>0.5</v>
      </c>
      <c r="L33" s="66">
        <f t="shared" si="0"/>
        <v>-6.8</v>
      </c>
      <c r="M33" s="67">
        <f t="shared" si="1"/>
        <v>-19.399999999999999</v>
      </c>
      <c r="N33" s="21"/>
      <c r="O33" s="68">
        <f t="shared" si="11"/>
        <v>21.79536948901638</v>
      </c>
      <c r="P33" s="69">
        <f t="shared" si="2"/>
        <v>0.56051642096946575</v>
      </c>
      <c r="Q33" s="70">
        <f t="shared" si="12"/>
        <v>2.3837522282049539</v>
      </c>
      <c r="R33" s="21"/>
      <c r="S33" s="71">
        <f t="shared" si="3"/>
        <v>14.268517823436259</v>
      </c>
      <c r="T33" s="72">
        <f t="shared" si="4"/>
        <v>38.098549205025797</v>
      </c>
      <c r="U33" s="73">
        <f t="shared" si="5"/>
        <v>26.840838400236223</v>
      </c>
      <c r="V33" s="21"/>
      <c r="W33" s="74">
        <f t="shared" si="6"/>
        <v>0.83932457784919257</v>
      </c>
      <c r="X33" s="72">
        <f t="shared" si="7"/>
        <v>-0.9819213712635515</v>
      </c>
      <c r="Y33" s="73">
        <f t="shared" si="8"/>
        <v>1.5788728470727207</v>
      </c>
    </row>
    <row r="34" spans="2:25">
      <c r="B34" s="84" t="s">
        <v>54</v>
      </c>
      <c r="C34" s="63">
        <f>S94*SIN(C17-C11)+U94*COS(C17-C11)</f>
        <v>48485.87994551954</v>
      </c>
      <c r="D34" s="38"/>
      <c r="E34" s="64">
        <v>7</v>
      </c>
      <c r="F34" s="65">
        <v>3</v>
      </c>
      <c r="G34" s="132">
        <v>51.9</v>
      </c>
      <c r="H34" s="132">
        <v>5.6</v>
      </c>
      <c r="I34" s="132">
        <v>1.3</v>
      </c>
      <c r="J34" s="133">
        <v>-0.2</v>
      </c>
      <c r="L34" s="66">
        <f t="shared" si="0"/>
        <v>51.9</v>
      </c>
      <c r="M34" s="67">
        <f t="shared" si="1"/>
        <v>5.6</v>
      </c>
      <c r="N34" s="21"/>
      <c r="O34" s="68">
        <f t="shared" si="11"/>
        <v>167.69460309436147</v>
      </c>
      <c r="P34" s="69">
        <f t="shared" si="2"/>
        <v>0.60989937485356138</v>
      </c>
      <c r="Q34" s="70">
        <f t="shared" si="12"/>
        <v>-0.81520818809788587</v>
      </c>
      <c r="R34" s="21"/>
      <c r="S34" s="71">
        <f t="shared" si="3"/>
        <v>-37.243006116977803</v>
      </c>
      <c r="T34" s="72">
        <f t="shared" si="4"/>
        <v>17.949644106435866</v>
      </c>
      <c r="U34" s="73">
        <f t="shared" si="5"/>
        <v>222.90734053014384</v>
      </c>
      <c r="V34" s="21"/>
      <c r="W34" s="74">
        <f t="shared" si="6"/>
        <v>-0.9328691320244924</v>
      </c>
      <c r="X34" s="72">
        <f t="shared" si="7"/>
        <v>-0.64105871808699166</v>
      </c>
      <c r="Y34" s="73">
        <f t="shared" si="8"/>
        <v>5.5834208610633338</v>
      </c>
    </row>
    <row r="35" spans="2:25">
      <c r="B35" s="84" t="s">
        <v>44</v>
      </c>
      <c r="C35" s="70">
        <f>SQRT(C32^2+C33^2)</f>
        <v>17075.527736883101</v>
      </c>
      <c r="D35" s="38"/>
      <c r="E35" s="64">
        <v>7</v>
      </c>
      <c r="F35" s="65">
        <v>4</v>
      </c>
      <c r="G35" s="132">
        <v>15</v>
      </c>
      <c r="H35" s="132">
        <v>24.4</v>
      </c>
      <c r="I35" s="132">
        <v>0.2</v>
      </c>
      <c r="J35" s="133">
        <v>-0.1</v>
      </c>
      <c r="L35" s="66">
        <f t="shared" si="0"/>
        <v>15</v>
      </c>
      <c r="M35" s="67">
        <f t="shared" si="1"/>
        <v>24.4</v>
      </c>
      <c r="N35" s="21"/>
      <c r="O35" s="68">
        <f t="shared" si="11"/>
        <v>641.47808695805372</v>
      </c>
      <c r="P35" s="69">
        <f t="shared" si="2"/>
        <v>0.35171799549466792</v>
      </c>
      <c r="Q35" s="70">
        <f t="shared" si="12"/>
        <v>-1.6249025212046835</v>
      </c>
      <c r="R35" s="21"/>
      <c r="S35" s="71">
        <f t="shared" si="3"/>
        <v>21.454945167736842</v>
      </c>
      <c r="T35" s="72">
        <f t="shared" si="4"/>
        <v>-60.135756568340305</v>
      </c>
      <c r="U35" s="73">
        <f t="shared" si="5"/>
        <v>-37.152211701904832</v>
      </c>
      <c r="V35" s="21"/>
      <c r="W35" s="74">
        <f t="shared" si="6"/>
        <v>0.2860659355698249</v>
      </c>
      <c r="X35" s="72">
        <f t="shared" si="7"/>
        <v>0.2464580187227059</v>
      </c>
      <c r="Y35" s="73">
        <f t="shared" si="8"/>
        <v>-0.495362822692065</v>
      </c>
    </row>
    <row r="36" spans="2:25">
      <c r="B36" s="84" t="s">
        <v>43</v>
      </c>
      <c r="C36" s="70">
        <f>SQRT(C35^2+C34^2)</f>
        <v>51404.807183612676</v>
      </c>
      <c r="D36" s="38"/>
      <c r="E36" s="64">
        <v>7</v>
      </c>
      <c r="F36" s="65">
        <v>5</v>
      </c>
      <c r="G36" s="132">
        <v>9.3000000000000007</v>
      </c>
      <c r="H36" s="132">
        <v>3.3</v>
      </c>
      <c r="I36" s="132">
        <v>-0.4</v>
      </c>
      <c r="J36" s="133">
        <v>-0.7</v>
      </c>
      <c r="L36" s="66">
        <f t="shared" ref="L36:L67" si="13">G36+($C$29-$J$2)*I36</f>
        <v>9.3000000000000007</v>
      </c>
      <c r="M36" s="67">
        <f t="shared" ref="M36:M67" si="14">H36+($C$29-$J$2)*J36</f>
        <v>3.3</v>
      </c>
      <c r="N36" s="21"/>
      <c r="O36" s="68">
        <f t="shared" si="11"/>
        <v>1451.4312881205394</v>
      </c>
      <c r="P36" s="69">
        <f t="shared" ref="P36:P67" si="15">IF(F36=0,O36,SQRT(2*FACT(E36-F36)/FACT(E36+F36))*O36)</f>
        <v>0.13263495501896524</v>
      </c>
      <c r="Q36" s="70">
        <f t="shared" si="12"/>
        <v>-0.96922667815140606</v>
      </c>
      <c r="R36" s="21"/>
      <c r="S36" s="71">
        <f t="shared" ref="S36:S67" si="16">-1*($C$23/$C$19)^(E36+2)*(L36*COS(F36*$C$18)+M36*SIN(F36*$C$18))*Q36</f>
        <v>-7.9344558072604316</v>
      </c>
      <c r="T36" s="72">
        <f t="shared" ref="T36:T67" si="17">($C$23/$C$19)^(E36+2)*F36*(L36*SIN(F36*$C$18)-M36*COS(F36*$C$18))*P36/COS($C$17)</f>
        <v>3.8338075721195444</v>
      </c>
      <c r="U36" s="73">
        <f t="shared" ref="U36:U67" si="18">-1*(E36+1)*($C$23/$C$19)^(E36+2)*(L36*COS(F36*$C$18)+M36*SIN(F36*$C$18))*P36</f>
        <v>8.6863988606104652</v>
      </c>
      <c r="V36" s="21"/>
      <c r="W36" s="74">
        <f t="shared" ref="W36:W67" si="19">-1*($C$23/$C$19)^(E36+2)*(I36*COS(F36*$C$18)+J36*SIN(F36*$C$18))*Q36</f>
        <v>0.34126691644130852</v>
      </c>
      <c r="X36" s="72">
        <f t="shared" ref="X36:X67" si="20">($C$23/$C$19)^(E36+2)*(F36*(I36*SIN(F36*$C$18)-J36*COS(F36*$C$18))*P36)/COS($C$17)</f>
        <v>-0.8132319092374779</v>
      </c>
      <c r="Y36" s="73">
        <f t="shared" ref="Y36:Y67" si="21">-1*(E36+1)*($C$23/$C$19)^(E36+2)*(I36*COS(F36*$C$18)+J36*SIN(F36*$C$18))*P36</f>
        <v>-0.37360855314453573</v>
      </c>
    </row>
    <row r="37" spans="2:25">
      <c r="B37" s="84" t="s">
        <v>40</v>
      </c>
      <c r="C37" s="70">
        <f>ATAN(C34/C35)</f>
        <v>1.2321849458650973</v>
      </c>
      <c r="D37" s="38"/>
      <c r="E37" s="64">
        <v>7</v>
      </c>
      <c r="F37" s="65">
        <v>6</v>
      </c>
      <c r="G37" s="132">
        <v>-2.8</v>
      </c>
      <c r="H37" s="132">
        <v>-27.5</v>
      </c>
      <c r="I37" s="132">
        <v>-0.9</v>
      </c>
      <c r="J37" s="133">
        <v>0.1</v>
      </c>
      <c r="L37" s="66">
        <f t="shared" si="13"/>
        <v>-2.8</v>
      </c>
      <c r="M37" s="67">
        <f t="shared" si="14"/>
        <v>-27.5</v>
      </c>
      <c r="N37" s="21"/>
      <c r="O37" s="68">
        <f>(SIN($C$17)*(2*E37-1)*O30/(E37-F37))</f>
        <v>1880.6141080996383</v>
      </c>
      <c r="P37" s="69">
        <f t="shared" si="15"/>
        <v>3.370346322603239E-2</v>
      </c>
      <c r="Q37" s="70">
        <f t="shared" si="12"/>
        <v>-0.32836020557778162</v>
      </c>
      <c r="R37" s="21"/>
      <c r="S37" s="71">
        <f t="shared" si="16"/>
        <v>-0.80931462325514503</v>
      </c>
      <c r="T37" s="72">
        <f t="shared" si="17"/>
        <v>9.7419713004116808</v>
      </c>
      <c r="U37" s="73">
        <f t="shared" si="18"/>
        <v>0.6645556965753272</v>
      </c>
      <c r="V37" s="21"/>
      <c r="W37" s="74">
        <f t="shared" si="19"/>
        <v>-0.2601368431891557</v>
      </c>
      <c r="X37" s="72">
        <f t="shared" si="20"/>
        <v>-3.5425350183314976E-2</v>
      </c>
      <c r="Y37" s="73">
        <f t="shared" si="21"/>
        <v>0.21360718818492822</v>
      </c>
    </row>
    <row r="38" spans="2:25">
      <c r="B38" s="84" t="s">
        <v>41</v>
      </c>
      <c r="C38" s="70">
        <f>C37*180/PI()</f>
        <v>70.598996977625902</v>
      </c>
      <c r="D38" s="38"/>
      <c r="E38" s="64">
        <v>7</v>
      </c>
      <c r="F38" s="65">
        <v>7</v>
      </c>
      <c r="G38" s="132">
        <v>6.7</v>
      </c>
      <c r="H38" s="132">
        <v>-2.2999999999999998</v>
      </c>
      <c r="I38" s="132">
        <v>0.3</v>
      </c>
      <c r="J38" s="133">
        <v>0.1</v>
      </c>
      <c r="L38" s="66">
        <f t="shared" si="13"/>
        <v>6.7</v>
      </c>
      <c r="M38" s="67">
        <f t="shared" si="14"/>
        <v>-2.2999999999999998</v>
      </c>
      <c r="N38" s="21"/>
      <c r="O38" s="68">
        <f>FACTDOUBLE((2*E38-1))*(1-SIN($C$17)^2)^(E38/2)</f>
        <v>1092.9771996477996</v>
      </c>
      <c r="P38" s="69">
        <f t="shared" si="15"/>
        <v>5.2350631407036005E-3</v>
      </c>
      <c r="Q38" s="70">
        <f t="shared" si="12"/>
        <v>-6.3053406069773971E-2</v>
      </c>
      <c r="R38" s="21"/>
      <c r="S38" s="71">
        <f t="shared" si="16"/>
        <v>-0.37187089727215211</v>
      </c>
      <c r="T38" s="72">
        <f t="shared" si="17"/>
        <v>-0.14765092508613689</v>
      </c>
      <c r="U38" s="73">
        <f t="shared" si="18"/>
        <v>0.24699920258145028</v>
      </c>
      <c r="V38" s="21"/>
      <c r="W38" s="74">
        <f t="shared" si="19"/>
        <v>-1.6650935698753068E-2</v>
      </c>
      <c r="X38" s="72">
        <f t="shared" si="20"/>
        <v>6.4196054385277255E-3</v>
      </c>
      <c r="Y38" s="73">
        <f t="shared" si="21"/>
        <v>1.105966578722911E-2</v>
      </c>
    </row>
    <row r="39" spans="2:25">
      <c r="B39" s="84" t="s">
        <v>50</v>
      </c>
      <c r="C39" s="70">
        <f>ATAN2(C32,C33)</f>
        <v>6.0668945642321392E-2</v>
      </c>
      <c r="D39" s="38"/>
      <c r="E39" s="64">
        <v>8</v>
      </c>
      <c r="F39" s="65">
        <v>0</v>
      </c>
      <c r="G39" s="132">
        <v>24</v>
      </c>
      <c r="H39" s="132">
        <v>0</v>
      </c>
      <c r="I39" s="132">
        <v>0</v>
      </c>
      <c r="J39" s="133">
        <v>0</v>
      </c>
      <c r="L39" s="66">
        <f t="shared" si="13"/>
        <v>24</v>
      </c>
      <c r="M39" s="67">
        <f t="shared" si="14"/>
        <v>0</v>
      </c>
      <c r="N39" s="21"/>
      <c r="O39" s="68">
        <f t="shared" ref="O39:O45" si="22">(SIN($C$17)*(2*E39-1)*O31-(E39+F39-1)*O24)/(E39-F39)</f>
        <v>-0.33332947457933437</v>
      </c>
      <c r="P39" s="69">
        <f t="shared" si="15"/>
        <v>-0.33332947457933437</v>
      </c>
      <c r="Q39" s="70">
        <f t="shared" ref="Q39:Q47" si="23">((E39+1)*TAN($C$17)*P39)-(SQRT(((E39+1)^2)-(F39^2))*1/COS($C$17)*P48)</f>
        <v>-1.9286375623578569</v>
      </c>
      <c r="R39" s="21"/>
      <c r="S39" s="71">
        <f t="shared" si="16"/>
        <v>40.171322197376021</v>
      </c>
      <c r="T39" s="72">
        <f t="shared" si="17"/>
        <v>0</v>
      </c>
      <c r="U39" s="73">
        <f t="shared" si="18"/>
        <v>62.485857292722123</v>
      </c>
      <c r="V39" s="21"/>
      <c r="W39" s="74">
        <f t="shared" si="19"/>
        <v>0</v>
      </c>
      <c r="X39" s="72">
        <f t="shared" si="20"/>
        <v>0</v>
      </c>
      <c r="Y39" s="73">
        <f t="shared" si="21"/>
        <v>0</v>
      </c>
    </row>
    <row r="40" spans="2:25">
      <c r="B40" s="84" t="s">
        <v>51</v>
      </c>
      <c r="C40" s="70">
        <f>C39*180/PI()</f>
        <v>3.4760745328136231</v>
      </c>
      <c r="D40" s="38"/>
      <c r="E40" s="64">
        <v>8</v>
      </c>
      <c r="F40" s="65">
        <v>1</v>
      </c>
      <c r="G40" s="132">
        <v>8.6</v>
      </c>
      <c r="H40" s="132">
        <v>10.199999999999999</v>
      </c>
      <c r="I40" s="132">
        <v>0.1</v>
      </c>
      <c r="J40" s="133">
        <v>-0.3</v>
      </c>
      <c r="L40" s="66">
        <f t="shared" si="13"/>
        <v>8.6</v>
      </c>
      <c r="M40" s="67">
        <f t="shared" si="14"/>
        <v>10.199999999999999</v>
      </c>
      <c r="N40" s="21"/>
      <c r="O40" s="68">
        <f t="shared" si="22"/>
        <v>-1.9286375623578558</v>
      </c>
      <c r="P40" s="69">
        <f t="shared" si="15"/>
        <v>-0.32143959372630926</v>
      </c>
      <c r="Q40" s="70">
        <f t="shared" si="23"/>
        <v>3.4468736901190633</v>
      </c>
      <c r="R40" s="21"/>
      <c r="S40" s="71">
        <f t="shared" si="16"/>
        <v>25.726344683776233</v>
      </c>
      <c r="T40" s="72">
        <f t="shared" si="17"/>
        <v>-5.6628276090422913</v>
      </c>
      <c r="U40" s="73">
        <f t="shared" si="18"/>
        <v>-21.592085681089593</v>
      </c>
      <c r="V40" s="21"/>
      <c r="W40" s="74">
        <f t="shared" si="19"/>
        <v>0.29914354283460759</v>
      </c>
      <c r="X40" s="72">
        <f t="shared" si="20"/>
        <v>0.1665537532071262</v>
      </c>
      <c r="Y40" s="73">
        <f t="shared" si="21"/>
        <v>-0.25107076373360004</v>
      </c>
    </row>
    <row r="41" spans="2:25" ht="15.75" thickBot="1">
      <c r="B41" s="76" t="s">
        <v>42</v>
      </c>
      <c r="C41" s="121">
        <f>IF(C10&gt;55,C40-C12,IF(C10&lt;-55,C40+C12,C40))</f>
        <v>-176.52392546718639</v>
      </c>
      <c r="D41" s="38"/>
      <c r="E41" s="64">
        <v>8</v>
      </c>
      <c r="F41" s="65">
        <v>2</v>
      </c>
      <c r="G41" s="132">
        <v>-16.899999999999999</v>
      </c>
      <c r="H41" s="132">
        <v>-18.100000000000001</v>
      </c>
      <c r="I41" s="132">
        <v>-0.5</v>
      </c>
      <c r="J41" s="133">
        <v>0.3</v>
      </c>
      <c r="L41" s="66">
        <f t="shared" si="13"/>
        <v>-16.899999999999999</v>
      </c>
      <c r="M41" s="67">
        <f t="shared" si="14"/>
        <v>-18.100000000000001</v>
      </c>
      <c r="N41" s="21"/>
      <c r="O41" s="68">
        <f t="shared" si="22"/>
        <v>17.362762111716609</v>
      </c>
      <c r="P41" s="69">
        <f t="shared" si="15"/>
        <v>0.34587450021651572</v>
      </c>
      <c r="Q41" s="70">
        <f t="shared" si="23"/>
        <v>3.8796036784790431</v>
      </c>
      <c r="R41" s="21"/>
      <c r="S41" s="71">
        <f t="shared" si="16"/>
        <v>56.902104748636134</v>
      </c>
      <c r="T41" s="72">
        <f t="shared" si="17"/>
        <v>21.625238886975421</v>
      </c>
      <c r="U41" s="73">
        <f t="shared" si="18"/>
        <v>45.656437628768984</v>
      </c>
      <c r="V41" s="21"/>
      <c r="W41" s="74">
        <f t="shared" si="19"/>
        <v>1.683494223332431</v>
      </c>
      <c r="X41" s="72">
        <f t="shared" si="20"/>
        <v>-0.35842937381727191</v>
      </c>
      <c r="Y41" s="73">
        <f t="shared" si="21"/>
        <v>1.3507821783659471</v>
      </c>
    </row>
    <row r="42" spans="2:25" ht="15.75" thickBot="1">
      <c r="D42" s="38"/>
      <c r="E42" s="64">
        <v>8</v>
      </c>
      <c r="F42" s="65">
        <v>3</v>
      </c>
      <c r="G42" s="132">
        <v>-3.2</v>
      </c>
      <c r="H42" s="132">
        <v>13.2</v>
      </c>
      <c r="I42" s="132">
        <v>0.5</v>
      </c>
      <c r="J42" s="133">
        <v>0.3</v>
      </c>
      <c r="L42" s="66">
        <f t="shared" si="13"/>
        <v>-3.2</v>
      </c>
      <c r="M42" s="67">
        <f t="shared" si="14"/>
        <v>13.2</v>
      </c>
      <c r="N42" s="21"/>
      <c r="O42" s="68">
        <f t="shared" si="22"/>
        <v>254.50448862430653</v>
      </c>
      <c r="P42" s="69">
        <f t="shared" si="15"/>
        <v>0.62405548992769644</v>
      </c>
      <c r="Q42" s="70">
        <f t="shared" si="23"/>
        <v>0.41141620466633988</v>
      </c>
      <c r="R42" s="21"/>
      <c r="S42" s="71">
        <f t="shared" si="16"/>
        <v>-1.1425774157841528</v>
      </c>
      <c r="T42" s="72">
        <f t="shared" si="17"/>
        <v>42.682730327247356</v>
      </c>
      <c r="U42" s="73">
        <f t="shared" si="18"/>
        <v>-15.598037481513279</v>
      </c>
      <c r="V42" s="21"/>
      <c r="W42" s="74">
        <f t="shared" si="19"/>
        <v>0.17852772121627355</v>
      </c>
      <c r="X42" s="72">
        <f t="shared" si="20"/>
        <v>0.97006205289198599</v>
      </c>
      <c r="Y42" s="73">
        <f t="shared" si="21"/>
        <v>2.4371933564864454</v>
      </c>
    </row>
    <row r="43" spans="2:25" ht="15.75" thickBot="1">
      <c r="B43" s="147" t="s">
        <v>85</v>
      </c>
      <c r="C43" s="149"/>
      <c r="D43" s="38"/>
      <c r="E43" s="64">
        <v>8</v>
      </c>
      <c r="F43" s="65">
        <v>4</v>
      </c>
      <c r="G43" s="132">
        <v>-20.6</v>
      </c>
      <c r="H43" s="132">
        <v>-14.6</v>
      </c>
      <c r="I43" s="132">
        <v>-0.2</v>
      </c>
      <c r="J43" s="133">
        <v>0.6</v>
      </c>
      <c r="L43" s="66">
        <f t="shared" si="13"/>
        <v>-20.6</v>
      </c>
      <c r="M43" s="67">
        <f t="shared" si="14"/>
        <v>-14.6</v>
      </c>
      <c r="N43" s="21"/>
      <c r="O43" s="68">
        <f t="shared" si="22"/>
        <v>1481.512685245521</v>
      </c>
      <c r="P43" s="69">
        <f t="shared" si="15"/>
        <v>0.46898344345234921</v>
      </c>
      <c r="Q43" s="70">
        <f t="shared" si="23"/>
        <v>-1.6061169588929642</v>
      </c>
      <c r="R43" s="21"/>
      <c r="S43" s="71">
        <f t="shared" si="16"/>
        <v>-28.714327666099784</v>
      </c>
      <c r="T43" s="72">
        <f t="shared" si="17"/>
        <v>47.304685200097261</v>
      </c>
      <c r="U43" s="73">
        <f t="shared" si="18"/>
        <v>75.460817293739694</v>
      </c>
      <c r="V43" s="21"/>
      <c r="W43" s="74">
        <f t="shared" si="19"/>
        <v>-0.27877988025339651</v>
      </c>
      <c r="X43" s="72">
        <f t="shared" si="20"/>
        <v>-1.9440281589081052</v>
      </c>
      <c r="Y43" s="73">
        <f t="shared" si="21"/>
        <v>0.73262929411397915</v>
      </c>
    </row>
    <row r="44" spans="2:25">
      <c r="B44" s="48" t="s">
        <v>55</v>
      </c>
      <c r="C44" s="120">
        <f>W94*COS(C17-C11)-Y94*(SIN(C17-C11))</f>
        <v>-17.898511403434799</v>
      </c>
      <c r="D44" s="38"/>
      <c r="E44" s="64">
        <v>8</v>
      </c>
      <c r="F44" s="65">
        <v>5</v>
      </c>
      <c r="G44" s="132">
        <v>13.3</v>
      </c>
      <c r="H44" s="132">
        <v>16.2</v>
      </c>
      <c r="I44" s="132">
        <v>0.4</v>
      </c>
      <c r="J44" s="133">
        <v>-0.1</v>
      </c>
      <c r="L44" s="66">
        <f t="shared" si="13"/>
        <v>13.3</v>
      </c>
      <c r="M44" s="67">
        <f t="shared" si="14"/>
        <v>16.2</v>
      </c>
      <c r="N44" s="21"/>
      <c r="O44" s="68">
        <f t="shared" si="22"/>
        <v>5122.8635537423206</v>
      </c>
      <c r="P44" s="69">
        <f t="shared" si="15"/>
        <v>0.22488643171548481</v>
      </c>
      <c r="Q44" s="70">
        <f t="shared" si="23"/>
        <v>-1.4471511146653007</v>
      </c>
      <c r="R44" s="21"/>
      <c r="S44" s="71">
        <f t="shared" si="16"/>
        <v>-16.703973339368005</v>
      </c>
      <c r="T44" s="72">
        <f t="shared" si="17"/>
        <v>31.461691696435022</v>
      </c>
      <c r="U44" s="73">
        <f t="shared" si="18"/>
        <v>23.362088654901001</v>
      </c>
      <c r="V44" s="21"/>
      <c r="W44" s="74">
        <f t="shared" si="19"/>
        <v>-0.50237513802610589</v>
      </c>
      <c r="X44" s="72">
        <f t="shared" si="20"/>
        <v>-0.19420797343478352</v>
      </c>
      <c r="Y44" s="73">
        <f t="shared" si="21"/>
        <v>0.70261920766619623</v>
      </c>
    </row>
    <row r="45" spans="2:25">
      <c r="B45" s="84" t="s">
        <v>56</v>
      </c>
      <c r="C45" s="63">
        <f>X94</f>
        <v>-55.182102516375508</v>
      </c>
      <c r="D45" s="38"/>
      <c r="E45" s="64">
        <v>8</v>
      </c>
      <c r="F45" s="65">
        <v>6</v>
      </c>
      <c r="G45" s="132">
        <v>11.7</v>
      </c>
      <c r="H45" s="132">
        <v>5.7</v>
      </c>
      <c r="I45" s="132">
        <v>0.2</v>
      </c>
      <c r="J45" s="133">
        <v>-0.2</v>
      </c>
      <c r="L45" s="66">
        <f t="shared" si="13"/>
        <v>11.7</v>
      </c>
      <c r="M45" s="67">
        <f t="shared" si="14"/>
        <v>5.7</v>
      </c>
      <c r="N45" s="21"/>
      <c r="O45" s="68">
        <f t="shared" si="22"/>
        <v>11107.090124334445</v>
      </c>
      <c r="P45" s="69">
        <f t="shared" si="15"/>
        <v>7.5236072353798922E-2</v>
      </c>
      <c r="Q45" s="70">
        <f t="shared" si="23"/>
        <v>-0.68070803005457914</v>
      </c>
      <c r="R45" s="21"/>
      <c r="S45" s="71">
        <f t="shared" si="16"/>
        <v>6.9119565485199841</v>
      </c>
      <c r="T45" s="72">
        <f t="shared" si="17"/>
        <v>-4.4441224845012801</v>
      </c>
      <c r="U45" s="73">
        <f t="shared" si="18"/>
        <v>-6.8755706709403901</v>
      </c>
      <c r="V45" s="21"/>
      <c r="W45" s="74">
        <f t="shared" si="19"/>
        <v>0.11815310339350413</v>
      </c>
      <c r="X45" s="72">
        <f t="shared" si="20"/>
        <v>0.15593412226320247</v>
      </c>
      <c r="Y45" s="73">
        <f t="shared" si="21"/>
        <v>-0.11753112258017775</v>
      </c>
    </row>
    <row r="46" spans="2:25">
      <c r="B46" s="84" t="s">
        <v>57</v>
      </c>
      <c r="C46" s="63">
        <f>W94*SIN(C17-C11)+Y94*COS(C17-C11)</f>
        <v>45.154211183045597</v>
      </c>
      <c r="D46" s="38"/>
      <c r="E46" s="64">
        <v>8</v>
      </c>
      <c r="F46" s="65">
        <v>7</v>
      </c>
      <c r="G46" s="132">
        <v>-16</v>
      </c>
      <c r="H46" s="132">
        <v>-9.1</v>
      </c>
      <c r="I46" s="132">
        <v>-0.4</v>
      </c>
      <c r="J46" s="133">
        <v>0.3</v>
      </c>
      <c r="L46" s="66">
        <f t="shared" si="13"/>
        <v>-16</v>
      </c>
      <c r="M46" s="67">
        <f t="shared" si="14"/>
        <v>-9.1</v>
      </c>
      <c r="N46" s="21"/>
      <c r="O46" s="68">
        <f>(SIN($C$17)*(2*E46-1)*O38/(E46-F46))</f>
        <v>14174.619644313027</v>
      </c>
      <c r="P46" s="69">
        <f t="shared" si="15"/>
        <v>1.752978567587991E-2</v>
      </c>
      <c r="Q46" s="70">
        <f t="shared" si="23"/>
        <v>-0.20094848059241022</v>
      </c>
      <c r="R46" s="21"/>
      <c r="S46" s="71">
        <f t="shared" si="16"/>
        <v>2.7903518755080809</v>
      </c>
      <c r="T46" s="72">
        <f t="shared" si="17"/>
        <v>-1.9286340821492076</v>
      </c>
      <c r="U46" s="73">
        <f t="shared" si="18"/>
        <v>-2.1907527329576788</v>
      </c>
      <c r="V46" s="21"/>
      <c r="W46" s="74">
        <f t="shared" si="19"/>
        <v>6.9758796887702104E-2</v>
      </c>
      <c r="X46" s="72">
        <f t="shared" si="20"/>
        <v>6.3581343367556109E-2</v>
      </c>
      <c r="Y46" s="73">
        <f t="shared" si="21"/>
        <v>-5.4768818323942044E-2</v>
      </c>
    </row>
    <row r="47" spans="2:25">
      <c r="B47" s="84" t="s">
        <v>58</v>
      </c>
      <c r="C47" s="63">
        <f>(C32*C44+C33*C45)/C35</f>
        <v>-21.211368404392942</v>
      </c>
      <c r="D47" s="38"/>
      <c r="E47" s="64">
        <v>8</v>
      </c>
      <c r="F47" s="65">
        <v>8</v>
      </c>
      <c r="G47" s="132">
        <v>-2</v>
      </c>
      <c r="H47" s="132">
        <v>2.2000000000000002</v>
      </c>
      <c r="I47" s="132">
        <v>0.3</v>
      </c>
      <c r="J47" s="133">
        <v>0</v>
      </c>
      <c r="L47" s="66">
        <f t="shared" si="13"/>
        <v>-2</v>
      </c>
      <c r="M47" s="67">
        <f t="shared" si="14"/>
        <v>2.2000000000000002</v>
      </c>
      <c r="N47" s="21"/>
      <c r="O47" s="68">
        <f>FACTDOUBLE((2*E47-1))*(1-SIN($C$17)^2)^(E47/2)</f>
        <v>8238.0197075992128</v>
      </c>
      <c r="P47" s="69">
        <f t="shared" si="15"/>
        <v>2.5469946194610561E-3</v>
      </c>
      <c r="Q47" s="70">
        <f t="shared" si="23"/>
        <v>-3.50595713517598E-2</v>
      </c>
      <c r="R47" s="21"/>
      <c r="S47" s="71">
        <f t="shared" si="16"/>
        <v>-6.0854242582157811E-2</v>
      </c>
      <c r="T47" s="72">
        <f t="shared" si="17"/>
        <v>-7.7423801954963081E-2</v>
      </c>
      <c r="U47" s="73">
        <f t="shared" si="18"/>
        <v>3.9788246178405859E-2</v>
      </c>
      <c r="V47" s="21"/>
      <c r="W47" s="74">
        <f t="shared" si="19"/>
        <v>9.1281363873236595E-3</v>
      </c>
      <c r="X47" s="72">
        <f t="shared" si="20"/>
        <v>-1.0347889236902625E-17</v>
      </c>
      <c r="Y47" s="73">
        <f t="shared" si="21"/>
        <v>-5.9682369267608729E-3</v>
      </c>
    </row>
    <row r="48" spans="2:25">
      <c r="B48" s="84" t="s">
        <v>59</v>
      </c>
      <c r="C48" s="63">
        <f>(C32*C44+C33*C45+C34*C46)/C36</f>
        <v>35.54427013806216</v>
      </c>
      <c r="D48" s="38"/>
      <c r="E48" s="64">
        <v>9</v>
      </c>
      <c r="F48" s="65">
        <v>0</v>
      </c>
      <c r="G48" s="132">
        <v>5.4</v>
      </c>
      <c r="H48" s="132">
        <v>0</v>
      </c>
      <c r="I48" s="132">
        <v>0</v>
      </c>
      <c r="J48" s="133">
        <v>0</v>
      </c>
      <c r="L48" s="66">
        <f t="shared" si="13"/>
        <v>5.4</v>
      </c>
      <c r="M48" s="67">
        <f t="shared" si="14"/>
        <v>0</v>
      </c>
      <c r="N48" s="21"/>
      <c r="O48" s="68">
        <f t="shared" ref="O48:O55" si="24">(SIN($C$17)*(2*E48-1)*O39-(E48+F48-1)*O31)/(E48-F48)</f>
        <v>-0.1805141679324905</v>
      </c>
      <c r="P48" s="69">
        <f t="shared" si="15"/>
        <v>-0.1805141679324905</v>
      </c>
      <c r="Q48" s="70">
        <f t="shared" ref="Q48:Q57" si="25">((E48+1)*TAN($C$17)*P48)-(SQRT(((E48+1)^2)-(F48^2))*1/COS($C$17)*P58)</f>
        <v>-3.1749047111141282</v>
      </c>
      <c r="R48" s="21"/>
      <c r="S48" s="71">
        <f t="shared" si="16"/>
        <v>14.669798387296391</v>
      </c>
      <c r="T48" s="72">
        <f t="shared" si="17"/>
        <v>0</v>
      </c>
      <c r="U48" s="73">
        <f t="shared" si="18"/>
        <v>8.3407430791550699</v>
      </c>
      <c r="V48" s="21"/>
      <c r="W48" s="74">
        <f t="shared" si="19"/>
        <v>0</v>
      </c>
      <c r="X48" s="72">
        <f t="shared" si="20"/>
        <v>0</v>
      </c>
      <c r="Y48" s="73">
        <f t="shared" si="21"/>
        <v>0</v>
      </c>
    </row>
    <row r="49" spans="2:25">
      <c r="B49" s="84" t="s">
        <v>60</v>
      </c>
      <c r="C49" s="63">
        <f>(C35*C46-C34*C47)/C36^2</f>
        <v>6.8098960668828122E-4</v>
      </c>
      <c r="D49" s="38"/>
      <c r="E49" s="64">
        <v>9</v>
      </c>
      <c r="F49" s="65">
        <v>1</v>
      </c>
      <c r="G49" s="132">
        <v>8.8000000000000007</v>
      </c>
      <c r="H49" s="132">
        <v>-21.6</v>
      </c>
      <c r="I49" s="132">
        <v>-0.1</v>
      </c>
      <c r="J49" s="133">
        <v>-0.2</v>
      </c>
      <c r="L49" s="66">
        <f t="shared" si="13"/>
        <v>8.8000000000000007</v>
      </c>
      <c r="M49" s="67">
        <f t="shared" si="14"/>
        <v>-21.6</v>
      </c>
      <c r="N49" s="21"/>
      <c r="O49" s="68">
        <f t="shared" si="24"/>
        <v>-3.17490471111413</v>
      </c>
      <c r="P49" s="69">
        <f t="shared" si="15"/>
        <v>-0.47328685040903512</v>
      </c>
      <c r="Q49" s="70">
        <f t="shared" si="25"/>
        <v>1.6074980925062619</v>
      </c>
      <c r="R49" s="21"/>
      <c r="S49" s="71">
        <f t="shared" si="16"/>
        <v>12.104109071474719</v>
      </c>
      <c r="T49" s="72">
        <f t="shared" si="17"/>
        <v>17.408342172787719</v>
      </c>
      <c r="U49" s="73">
        <f t="shared" si="18"/>
        <v>-35.637464741958219</v>
      </c>
      <c r="V49" s="21"/>
      <c r="W49" s="74">
        <f t="shared" si="19"/>
        <v>-0.13754669399403083</v>
      </c>
      <c r="X49" s="72">
        <f t="shared" si="20"/>
        <v>0.16118835345173813</v>
      </c>
      <c r="Y49" s="73">
        <f t="shared" si="21"/>
        <v>0.40497119024952505</v>
      </c>
    </row>
    <row r="50" spans="2:25">
      <c r="B50" s="84" t="s">
        <v>61</v>
      </c>
      <c r="C50" s="70">
        <f>C49*180/PI()</f>
        <v>3.9017830355512415E-2</v>
      </c>
      <c r="D50" s="38"/>
      <c r="E50" s="64">
        <v>9</v>
      </c>
      <c r="F50" s="65">
        <v>2</v>
      </c>
      <c r="G50" s="132">
        <v>3.1</v>
      </c>
      <c r="H50" s="132">
        <v>10.8</v>
      </c>
      <c r="I50" s="132">
        <v>-0.1</v>
      </c>
      <c r="J50" s="133">
        <v>-0.1</v>
      </c>
      <c r="L50" s="66">
        <f t="shared" si="13"/>
        <v>3.1</v>
      </c>
      <c r="M50" s="67">
        <f t="shared" si="14"/>
        <v>10.8</v>
      </c>
      <c r="N50" s="21"/>
      <c r="O50" s="68">
        <f t="shared" si="24"/>
        <v>5.320574937347236</v>
      </c>
      <c r="P50" s="69">
        <f t="shared" si="15"/>
        <v>8.4549485933971671E-2</v>
      </c>
      <c r="Q50" s="70">
        <f t="shared" si="25"/>
        <v>4.7307817028645864</v>
      </c>
      <c r="R50" s="21"/>
      <c r="S50" s="71">
        <f t="shared" si="16"/>
        <v>-12.548571581121267</v>
      </c>
      <c r="T50" s="72">
        <f t="shared" si="17"/>
        <v>-3.1098822635782715</v>
      </c>
      <c r="U50" s="73">
        <f t="shared" si="18"/>
        <v>-2.2427060537310499</v>
      </c>
      <c r="V50" s="21"/>
      <c r="W50" s="74">
        <f t="shared" si="19"/>
        <v>0.40479263164907342</v>
      </c>
      <c r="X50" s="72">
        <f t="shared" si="20"/>
        <v>2.8795206144243267E-2</v>
      </c>
      <c r="Y50" s="73">
        <f t="shared" si="21"/>
        <v>7.2345356571969388E-2</v>
      </c>
    </row>
    <row r="51" spans="2:25">
      <c r="B51" s="84" t="s">
        <v>62</v>
      </c>
      <c r="C51" s="63">
        <f>(C32*C45-C33*C44)/C35^2</f>
        <v>-3.1621488796477653E-3</v>
      </c>
      <c r="D51" s="38"/>
      <c r="E51" s="64">
        <v>9</v>
      </c>
      <c r="F51" s="65">
        <v>3</v>
      </c>
      <c r="G51" s="132">
        <v>-3.1</v>
      </c>
      <c r="H51" s="132">
        <v>11.7</v>
      </c>
      <c r="I51" s="132">
        <v>0.4</v>
      </c>
      <c r="J51" s="133">
        <v>-0.2</v>
      </c>
      <c r="L51" s="66">
        <f t="shared" si="13"/>
        <v>-3.1</v>
      </c>
      <c r="M51" s="67">
        <f t="shared" si="14"/>
        <v>11.7</v>
      </c>
      <c r="N51" s="21"/>
      <c r="O51" s="68">
        <f t="shared" si="24"/>
        <v>316.01067046905678</v>
      </c>
      <c r="P51" s="69">
        <f t="shared" si="15"/>
        <v>0.54791666694183216</v>
      </c>
      <c r="Q51" s="70">
        <f t="shared" si="25"/>
        <v>2.0533838676159615</v>
      </c>
      <c r="R51" s="21"/>
      <c r="S51" s="71">
        <f t="shared" si="16"/>
        <v>-5.4466758486649498</v>
      </c>
      <c r="T51" s="72">
        <f t="shared" si="17"/>
        <v>32.749211856586932</v>
      </c>
      <c r="U51" s="73">
        <f t="shared" si="18"/>
        <v>-14.533690090679254</v>
      </c>
      <c r="V51" s="21"/>
      <c r="W51" s="74">
        <f t="shared" si="19"/>
        <v>0.7027968836987023</v>
      </c>
      <c r="X51" s="72">
        <f t="shared" si="20"/>
        <v>-0.55981558729208425</v>
      </c>
      <c r="Y51" s="73">
        <f t="shared" si="21"/>
        <v>1.8753148504102239</v>
      </c>
    </row>
    <row r="52" spans="2:25" ht="15.75" thickBot="1">
      <c r="B52" s="76" t="s">
        <v>63</v>
      </c>
      <c r="C52" s="121">
        <f>C51*180/PI()</f>
        <v>-0.18117778499583867</v>
      </c>
      <c r="D52" s="38"/>
      <c r="E52" s="64">
        <v>9</v>
      </c>
      <c r="F52" s="65">
        <v>4</v>
      </c>
      <c r="G52" s="132">
        <v>0.6</v>
      </c>
      <c r="H52" s="132">
        <v>-6.8</v>
      </c>
      <c r="I52" s="132">
        <v>-0.5</v>
      </c>
      <c r="J52" s="133">
        <v>0.1</v>
      </c>
      <c r="L52" s="66">
        <f t="shared" si="13"/>
        <v>0.6</v>
      </c>
      <c r="M52" s="67">
        <f t="shared" si="14"/>
        <v>-6.8</v>
      </c>
      <c r="N52" s="21"/>
      <c r="O52" s="68">
        <f t="shared" si="24"/>
        <v>2815.5045833812696</v>
      </c>
      <c r="P52" s="69">
        <f t="shared" si="15"/>
        <v>0.552741027258558</v>
      </c>
      <c r="Q52" s="70">
        <f t="shared" si="25"/>
        <v>-1.0348081953696973</v>
      </c>
      <c r="R52" s="21"/>
      <c r="S52" s="71">
        <f t="shared" si="16"/>
        <v>0.53126450421767091</v>
      </c>
      <c r="T52" s="72">
        <f t="shared" si="17"/>
        <v>25.601760486089905</v>
      </c>
      <c r="U52" s="73">
        <f t="shared" si="18"/>
        <v>-2.8377402606709499</v>
      </c>
      <c r="V52" s="21"/>
      <c r="W52" s="74">
        <f t="shared" si="19"/>
        <v>-0.44272042018139007</v>
      </c>
      <c r="X52" s="72">
        <f t="shared" si="20"/>
        <v>-0.37649647773661538</v>
      </c>
      <c r="Y52" s="73">
        <f t="shared" si="21"/>
        <v>2.3647835505591117</v>
      </c>
    </row>
    <row r="53" spans="2:25" ht="15.75" thickBot="1">
      <c r="D53" s="38"/>
      <c r="E53" s="64">
        <v>9</v>
      </c>
      <c r="F53" s="65">
        <v>5</v>
      </c>
      <c r="G53" s="132">
        <v>-13.3</v>
      </c>
      <c r="H53" s="132">
        <v>-6.9</v>
      </c>
      <c r="I53" s="132">
        <v>-0.2</v>
      </c>
      <c r="J53" s="133">
        <v>0.1</v>
      </c>
      <c r="L53" s="66">
        <f t="shared" si="13"/>
        <v>-13.3</v>
      </c>
      <c r="M53" s="67">
        <f t="shared" si="14"/>
        <v>-6.9</v>
      </c>
      <c r="N53" s="21"/>
      <c r="O53" s="68">
        <f t="shared" si="24"/>
        <v>14106.798782504546</v>
      </c>
      <c r="P53" s="69">
        <f t="shared" si="15"/>
        <v>0.33101289634200937</v>
      </c>
      <c r="Q53" s="70">
        <f t="shared" si="25"/>
        <v>-1.7768024347794835</v>
      </c>
      <c r="R53" s="21"/>
      <c r="S53" s="71">
        <f t="shared" si="16"/>
        <v>20.220433950037112</v>
      </c>
      <c r="T53" s="72">
        <f t="shared" si="17"/>
        <v>-19.446579988287052</v>
      </c>
      <c r="U53" s="73">
        <f t="shared" si="18"/>
        <v>-37.670054228199938</v>
      </c>
      <c r="V53" s="21"/>
      <c r="W53" s="74">
        <f t="shared" si="19"/>
        <v>0.30406667594040787</v>
      </c>
      <c r="X53" s="72">
        <f t="shared" si="20"/>
        <v>0.28183449258386967</v>
      </c>
      <c r="Y53" s="73">
        <f t="shared" si="21"/>
        <v>-0.56646698087518732</v>
      </c>
    </row>
    <row r="54" spans="2:25" ht="15.75" thickBot="1">
      <c r="B54" s="147" t="s">
        <v>96</v>
      </c>
      <c r="C54" s="149"/>
      <c r="D54" s="38"/>
      <c r="E54" s="64">
        <v>9</v>
      </c>
      <c r="F54" s="65">
        <v>6</v>
      </c>
      <c r="G54" s="132">
        <v>-0.1</v>
      </c>
      <c r="H54" s="132">
        <v>7.8</v>
      </c>
      <c r="I54" s="132">
        <v>0.1</v>
      </c>
      <c r="J54" s="133">
        <v>0</v>
      </c>
      <c r="L54" s="66">
        <f t="shared" si="13"/>
        <v>-0.1</v>
      </c>
      <c r="M54" s="67">
        <f t="shared" si="14"/>
        <v>7.8</v>
      </c>
      <c r="N54" s="21"/>
      <c r="O54" s="68">
        <f t="shared" si="24"/>
        <v>45641.104005930618</v>
      </c>
      <c r="P54" s="69">
        <f t="shared" si="15"/>
        <v>0.13826012921226968</v>
      </c>
      <c r="Q54" s="70">
        <f t="shared" si="25"/>
        <v>-1.1366441085608168</v>
      </c>
      <c r="R54" s="21"/>
      <c r="S54" s="71">
        <f t="shared" si="16"/>
        <v>-9.725774488266313E-2</v>
      </c>
      <c r="T54" s="72">
        <f t="shared" si="17"/>
        <v>-11.018488847130705</v>
      </c>
      <c r="U54" s="73">
        <f t="shared" si="18"/>
        <v>0.11830324261652109</v>
      </c>
      <c r="V54" s="21"/>
      <c r="W54" s="74">
        <f t="shared" si="19"/>
        <v>9.7257744882657551E-2</v>
      </c>
      <c r="X54" s="72">
        <f t="shared" si="20"/>
        <v>-1.0384065066530805E-16</v>
      </c>
      <c r="Y54" s="73">
        <f t="shared" si="21"/>
        <v>-0.1183032426165143</v>
      </c>
    </row>
    <row r="55" spans="2:25">
      <c r="B55" s="104" t="s">
        <v>97</v>
      </c>
      <c r="C55" s="120">
        <v>138</v>
      </c>
      <c r="D55" s="38"/>
      <c r="E55" s="64">
        <v>9</v>
      </c>
      <c r="F55" s="65">
        <v>7</v>
      </c>
      <c r="G55" s="132">
        <v>8.6999999999999993</v>
      </c>
      <c r="H55" s="132">
        <v>1</v>
      </c>
      <c r="I55" s="132">
        <v>0</v>
      </c>
      <c r="J55" s="133">
        <v>-0.2</v>
      </c>
      <c r="L55" s="66">
        <f t="shared" si="13"/>
        <v>8.6999999999999993</v>
      </c>
      <c r="M55" s="67">
        <f t="shared" si="14"/>
        <v>1</v>
      </c>
      <c r="N55" s="21"/>
      <c r="O55" s="68">
        <f t="shared" si="24"/>
        <v>95971.886247531467</v>
      </c>
      <c r="P55" s="69">
        <f t="shared" si="15"/>
        <v>4.1962777799717223E-2</v>
      </c>
      <c r="Q55" s="70">
        <f t="shared" si="25"/>
        <v>-0.45247609694767943</v>
      </c>
      <c r="R55" s="21"/>
      <c r="S55" s="71">
        <f t="shared" si="16"/>
        <v>-3.3683296196025259</v>
      </c>
      <c r="T55" s="72">
        <f t="shared" si="17"/>
        <v>0.50019747408642001</v>
      </c>
      <c r="U55" s="73">
        <f t="shared" si="18"/>
        <v>3.1237996512317583</v>
      </c>
      <c r="V55" s="21"/>
      <c r="W55" s="74">
        <f t="shared" si="19"/>
        <v>-6.6406728284029478E-17</v>
      </c>
      <c r="X55" s="72">
        <f t="shared" si="20"/>
        <v>-0.10003949481728328</v>
      </c>
      <c r="Y55" s="73">
        <f t="shared" si="21"/>
        <v>6.158581198403386E-17</v>
      </c>
    </row>
    <row r="56" spans="2:25">
      <c r="B56" s="84" t="s">
        <v>98</v>
      </c>
      <c r="C56" s="63">
        <v>89</v>
      </c>
      <c r="D56" s="38"/>
      <c r="E56" s="64">
        <v>9</v>
      </c>
      <c r="F56" s="65">
        <v>8</v>
      </c>
      <c r="G56" s="132">
        <v>-9.1</v>
      </c>
      <c r="H56" s="132">
        <v>-3.9</v>
      </c>
      <c r="I56" s="132">
        <v>-0.2</v>
      </c>
      <c r="J56" s="133">
        <v>0.4</v>
      </c>
      <c r="L56" s="66">
        <f t="shared" si="13"/>
        <v>-9.1</v>
      </c>
      <c r="M56" s="67">
        <f t="shared" si="14"/>
        <v>-3.9</v>
      </c>
      <c r="N56" s="21"/>
      <c r="O56" s="68">
        <f>(SIN($C$17)*(2*E56-1)*O47/(E56-F56))</f>
        <v>121082.33866534033</v>
      </c>
      <c r="P56" s="69">
        <f t="shared" si="15"/>
        <v>9.079491802736258E-3</v>
      </c>
      <c r="Q56" s="70">
        <f t="shared" si="25"/>
        <v>-0.11970305527119834</v>
      </c>
      <c r="R56" s="21"/>
      <c r="S56" s="71">
        <f t="shared" si="16"/>
        <v>-0.93206525265355999</v>
      </c>
      <c r="T56" s="72">
        <f t="shared" si="17"/>
        <v>0.4823867383703957</v>
      </c>
      <c r="U56" s="73">
        <f t="shared" si="18"/>
        <v>0.70697266681375148</v>
      </c>
      <c r="V56" s="21"/>
      <c r="W56" s="74">
        <f t="shared" si="19"/>
        <v>-2.04849506077706E-2</v>
      </c>
      <c r="X56" s="72">
        <f t="shared" si="20"/>
        <v>-4.9475562909784034E-2</v>
      </c>
      <c r="Y56" s="73">
        <f t="shared" si="21"/>
        <v>1.5537860809093475E-2</v>
      </c>
    </row>
    <row r="57" spans="2:25">
      <c r="B57" s="84" t="s">
        <v>99</v>
      </c>
      <c r="C57" s="63">
        <v>165</v>
      </c>
      <c r="D57" s="38"/>
      <c r="E57" s="64">
        <v>9</v>
      </c>
      <c r="F57" s="65">
        <v>9</v>
      </c>
      <c r="G57" s="132">
        <v>-10.5</v>
      </c>
      <c r="H57" s="132">
        <v>8.5</v>
      </c>
      <c r="I57" s="132">
        <v>-0.1</v>
      </c>
      <c r="J57" s="133">
        <v>0.3</v>
      </c>
      <c r="L57" s="66">
        <f t="shared" si="13"/>
        <v>-10.5</v>
      </c>
      <c r="M57" s="67">
        <f t="shared" si="14"/>
        <v>8.5</v>
      </c>
      <c r="N57" s="21"/>
      <c r="O57" s="68">
        <f>FACTDOUBLE((2*E57-1))*(1-SIN($C$17)^2)^(E57/2)</f>
        <v>70370.755420408896</v>
      </c>
      <c r="P57" s="69">
        <f t="shared" si="15"/>
        <v>1.2437603301776649E-3</v>
      </c>
      <c r="Q57" s="70">
        <f t="shared" si="25"/>
        <v>-1.9260510670327413E-2</v>
      </c>
      <c r="R57" s="21"/>
      <c r="S57" s="71">
        <f t="shared" si="16"/>
        <v>0.173044096206072</v>
      </c>
      <c r="T57" s="72">
        <f t="shared" si="17"/>
        <v>0.16202325803637718</v>
      </c>
      <c r="U57" s="73">
        <f t="shared" si="18"/>
        <v>-0.11174437994737814</v>
      </c>
      <c r="V57" s="21"/>
      <c r="W57" s="74">
        <f t="shared" si="19"/>
        <v>1.6480390114864041E-3</v>
      </c>
      <c r="X57" s="72">
        <f t="shared" si="20"/>
        <v>5.7184679306956704E-3</v>
      </c>
      <c r="Y57" s="73">
        <f t="shared" si="21"/>
        <v>-1.0642321899750325E-3</v>
      </c>
    </row>
    <row r="58" spans="2:25">
      <c r="B58" s="84" t="s">
        <v>100</v>
      </c>
      <c r="C58" s="70">
        <v>133</v>
      </c>
      <c r="D58" s="38"/>
      <c r="E58" s="64">
        <v>10</v>
      </c>
      <c r="F58" s="65">
        <v>0</v>
      </c>
      <c r="G58" s="132">
        <v>-1.9</v>
      </c>
      <c r="H58" s="132">
        <v>0</v>
      </c>
      <c r="I58" s="132">
        <v>0</v>
      </c>
      <c r="J58" s="133">
        <v>0</v>
      </c>
      <c r="L58" s="66">
        <f t="shared" si="13"/>
        <v>-1.9</v>
      </c>
      <c r="M58" s="67">
        <f t="shared" si="14"/>
        <v>0</v>
      </c>
      <c r="N58" s="21"/>
      <c r="O58" s="68">
        <f t="shared" ref="O58:O66" si="26">(SIN($C$17)*(2*E58-1)*O48-(E58+F58-1)*O39)/(E58-F58)</f>
        <v>3.4629015839410917E-3</v>
      </c>
      <c r="P58" s="69">
        <f t="shared" si="15"/>
        <v>3.4629015839410917E-3</v>
      </c>
      <c r="Q58" s="70">
        <f t="shared" ref="Q58:Q68" si="27">((E58+1)*TAN($C$17)*P58)-(SQRT(((E58+1)^2)-(F58^2))*1/COS($C$17)*P69)</f>
        <v>-3.6520346710228009</v>
      </c>
      <c r="R58" s="21"/>
      <c r="S58" s="71">
        <f t="shared" si="16"/>
        <v>-5.8537424323487217</v>
      </c>
      <c r="T58" s="72">
        <f t="shared" si="17"/>
        <v>0</v>
      </c>
      <c r="U58" s="73">
        <f t="shared" si="18"/>
        <v>6.1056450290530966E-2</v>
      </c>
      <c r="V58" s="21"/>
      <c r="W58" s="74">
        <f t="shared" si="19"/>
        <v>0</v>
      </c>
      <c r="X58" s="72">
        <f t="shared" si="20"/>
        <v>0</v>
      </c>
      <c r="Y58" s="73">
        <f t="shared" si="21"/>
        <v>0</v>
      </c>
    </row>
    <row r="59" spans="2:25">
      <c r="B59" s="84" t="s">
        <v>101</v>
      </c>
      <c r="C59" s="70">
        <v>152</v>
      </c>
      <c r="D59" s="38"/>
      <c r="E59" s="64">
        <v>10</v>
      </c>
      <c r="F59" s="65">
        <v>1</v>
      </c>
      <c r="G59" s="132">
        <v>-6.5</v>
      </c>
      <c r="H59" s="132">
        <v>3.3</v>
      </c>
      <c r="I59" s="132">
        <v>0</v>
      </c>
      <c r="J59" s="133">
        <v>0.1</v>
      </c>
      <c r="L59" s="66">
        <f t="shared" si="13"/>
        <v>-6.5</v>
      </c>
      <c r="M59" s="67">
        <f t="shared" si="14"/>
        <v>3.3</v>
      </c>
      <c r="N59" s="21"/>
      <c r="O59" s="68">
        <f t="shared" si="26"/>
        <v>-3.6520346710228049</v>
      </c>
      <c r="P59" s="69">
        <f t="shared" si="15"/>
        <v>-0.49244025458291335</v>
      </c>
      <c r="Q59" s="70">
        <f t="shared" si="27"/>
        <v>-0.89867274590918989</v>
      </c>
      <c r="R59" s="21"/>
      <c r="S59" s="71">
        <f t="shared" si="16"/>
        <v>4.9278790975600293</v>
      </c>
      <c r="T59" s="72">
        <f t="shared" si="17"/>
        <v>-2.7283000961731445</v>
      </c>
      <c r="U59" s="73">
        <f t="shared" si="18"/>
        <v>29.703300264116859</v>
      </c>
      <c r="V59" s="21"/>
      <c r="W59" s="74">
        <f t="shared" si="19"/>
        <v>9.288282249772546E-18</v>
      </c>
      <c r="X59" s="72">
        <f t="shared" si="20"/>
        <v>-8.2675760490095326E-2</v>
      </c>
      <c r="Y59" s="73">
        <f t="shared" si="21"/>
        <v>5.5986080652722423E-17</v>
      </c>
    </row>
    <row r="60" spans="2:25">
      <c r="B60" s="84" t="s">
        <v>102</v>
      </c>
      <c r="C60" s="70">
        <v>0.22</v>
      </c>
      <c r="D60" s="38"/>
      <c r="E60" s="64">
        <v>10</v>
      </c>
      <c r="F60" s="65">
        <v>2</v>
      </c>
      <c r="G60" s="132">
        <v>0.2</v>
      </c>
      <c r="H60" s="132">
        <v>-0.3</v>
      </c>
      <c r="I60" s="132">
        <v>-0.1</v>
      </c>
      <c r="J60" s="133">
        <v>-0.1</v>
      </c>
      <c r="L60" s="66">
        <f t="shared" si="13"/>
        <v>0.2</v>
      </c>
      <c r="M60" s="67">
        <f t="shared" si="14"/>
        <v>-0.3</v>
      </c>
      <c r="N60" s="21"/>
      <c r="O60" s="68">
        <f t="shared" si="26"/>
        <v>-12.948551742978189</v>
      </c>
      <c r="P60" s="69">
        <f t="shared" si="15"/>
        <v>-0.16800723100548948</v>
      </c>
      <c r="Q60" s="70">
        <f t="shared" si="27"/>
        <v>4.5394312200000222</v>
      </c>
      <c r="R60" s="21"/>
      <c r="S60" s="71">
        <f t="shared" si="16"/>
        <v>-0.76590790570540379</v>
      </c>
      <c r="T60" s="72">
        <f t="shared" si="17"/>
        <v>-0.16924033478512363</v>
      </c>
      <c r="U60" s="73">
        <f t="shared" si="18"/>
        <v>0.3118141155293363</v>
      </c>
      <c r="V60" s="21"/>
      <c r="W60" s="74">
        <f t="shared" si="19"/>
        <v>0.38295395285270167</v>
      </c>
      <c r="X60" s="72">
        <f t="shared" si="20"/>
        <v>-5.6413444928374572E-2</v>
      </c>
      <c r="Y60" s="73">
        <f t="shared" si="21"/>
        <v>-0.15590705776466804</v>
      </c>
    </row>
    <row r="61" spans="2:25" ht="15.75" thickBot="1">
      <c r="B61" s="76" t="s">
        <v>103</v>
      </c>
      <c r="C61" s="121">
        <f>SQRT(0.23^2+(5430/C35)^2)</f>
        <v>0.3924580694290975</v>
      </c>
      <c r="D61" s="38"/>
      <c r="E61" s="64">
        <v>10</v>
      </c>
      <c r="F61" s="65">
        <v>3</v>
      </c>
      <c r="G61" s="132">
        <v>0.6</v>
      </c>
      <c r="H61" s="132">
        <v>4.5999999999999996</v>
      </c>
      <c r="I61" s="132">
        <v>0.3</v>
      </c>
      <c r="J61" s="133">
        <v>0</v>
      </c>
      <c r="L61" s="66">
        <f t="shared" si="13"/>
        <v>0.6</v>
      </c>
      <c r="M61" s="67">
        <f t="shared" si="14"/>
        <v>4.5999999999999996</v>
      </c>
      <c r="N61" s="21"/>
      <c r="O61" s="68">
        <f t="shared" si="26"/>
        <v>305.300853078584</v>
      </c>
      <c r="P61" s="69">
        <f t="shared" si="15"/>
        <v>0.38843479473472081</v>
      </c>
      <c r="Q61" s="70">
        <f t="shared" si="27"/>
        <v>3.718407044573369</v>
      </c>
      <c r="R61" s="21"/>
      <c r="S61" s="71">
        <f t="shared" si="16"/>
        <v>1.8821459434312473</v>
      </c>
      <c r="T61" s="72">
        <f t="shared" si="17"/>
        <v>8.9995721560447635</v>
      </c>
      <c r="U61" s="73">
        <f t="shared" si="18"/>
        <v>2.1627542678279439</v>
      </c>
      <c r="V61" s="21"/>
      <c r="W61" s="74">
        <f t="shared" si="19"/>
        <v>0.94107297171562643</v>
      </c>
      <c r="X61" s="72">
        <f t="shared" si="20"/>
        <v>2.1572240716598243E-16</v>
      </c>
      <c r="Y61" s="73">
        <f t="shared" si="21"/>
        <v>1.0813771339139748</v>
      </c>
    </row>
    <row r="62" spans="2:25">
      <c r="D62" s="38"/>
      <c r="E62" s="64">
        <v>10</v>
      </c>
      <c r="F62" s="65">
        <v>4</v>
      </c>
      <c r="G62" s="132">
        <v>-0.6</v>
      </c>
      <c r="H62" s="132">
        <v>4.4000000000000004</v>
      </c>
      <c r="I62" s="132">
        <v>-0.1</v>
      </c>
      <c r="J62" s="133">
        <v>0</v>
      </c>
      <c r="L62" s="66">
        <f t="shared" si="13"/>
        <v>-0.6</v>
      </c>
      <c r="M62" s="67">
        <f t="shared" si="14"/>
        <v>4.4000000000000004</v>
      </c>
      <c r="N62" s="21"/>
      <c r="O62" s="68">
        <f t="shared" si="26"/>
        <v>4498.5161815988913</v>
      </c>
      <c r="P62" s="69">
        <f t="shared" si="15"/>
        <v>0.57815775725446938</v>
      </c>
      <c r="Q62" s="70">
        <f t="shared" si="27"/>
        <v>0.13388409233781928</v>
      </c>
      <c r="R62" s="21"/>
      <c r="S62" s="71">
        <f t="shared" si="16"/>
        <v>6.7768105606231366E-2</v>
      </c>
      <c r="T62" s="72">
        <f t="shared" si="17"/>
        <v>-17.083768437321151</v>
      </c>
      <c r="U62" s="73">
        <f t="shared" si="18"/>
        <v>3.2191069747855772</v>
      </c>
      <c r="V62" s="21"/>
      <c r="W62" s="74">
        <f t="shared" si="19"/>
        <v>1.1294684267705187E-2</v>
      </c>
      <c r="X62" s="72">
        <f t="shared" si="20"/>
        <v>1.9027411368182413E-16</v>
      </c>
      <c r="Y62" s="73">
        <f t="shared" si="21"/>
        <v>0.53651782913092771</v>
      </c>
    </row>
    <row r="63" spans="2:25">
      <c r="D63" s="38"/>
      <c r="E63" s="64">
        <v>10</v>
      </c>
      <c r="F63" s="65">
        <v>5</v>
      </c>
      <c r="G63" s="132">
        <v>1.7</v>
      </c>
      <c r="H63" s="132">
        <v>-7.9</v>
      </c>
      <c r="I63" s="132">
        <v>-0.1</v>
      </c>
      <c r="J63" s="133">
        <v>-0.2</v>
      </c>
      <c r="L63" s="66">
        <f t="shared" si="13"/>
        <v>1.7</v>
      </c>
      <c r="M63" s="67">
        <f t="shared" si="14"/>
        <v>-7.9</v>
      </c>
      <c r="N63" s="21"/>
      <c r="O63" s="68">
        <f t="shared" si="26"/>
        <v>32002.927949833625</v>
      </c>
      <c r="P63" s="69">
        <f t="shared" si="15"/>
        <v>0.43355632768152658</v>
      </c>
      <c r="Q63" s="70">
        <f t="shared" si="27"/>
        <v>-1.7549265397860108</v>
      </c>
      <c r="R63" s="21"/>
      <c r="S63" s="71">
        <f t="shared" si="16"/>
        <v>-2.5168247711465082</v>
      </c>
      <c r="T63" s="72">
        <f t="shared" si="17"/>
        <v>-28.751948109939764</v>
      </c>
      <c r="U63" s="73">
        <f t="shared" si="18"/>
        <v>6.8396243859994126</v>
      </c>
      <c r="V63" s="21"/>
      <c r="W63" s="74">
        <f t="shared" si="19"/>
        <v>0.14804851594979401</v>
      </c>
      <c r="X63" s="72">
        <f t="shared" si="20"/>
        <v>-0.72789742050480455</v>
      </c>
      <c r="Y63" s="73">
        <f t="shared" si="21"/>
        <v>-0.40233084623525789</v>
      </c>
    </row>
    <row r="64" spans="2:25">
      <c r="D64" s="38"/>
      <c r="E64" s="64">
        <v>10</v>
      </c>
      <c r="F64" s="65">
        <v>6</v>
      </c>
      <c r="G64" s="132">
        <v>-0.7</v>
      </c>
      <c r="H64" s="132">
        <v>-0.6</v>
      </c>
      <c r="I64" s="132">
        <v>-0.1</v>
      </c>
      <c r="J64" s="133">
        <v>0.1</v>
      </c>
      <c r="L64" s="66">
        <f t="shared" si="13"/>
        <v>-0.7</v>
      </c>
      <c r="M64" s="67">
        <f t="shared" si="14"/>
        <v>-0.6</v>
      </c>
      <c r="N64" s="21"/>
      <c r="O64" s="68">
        <f t="shared" si="26"/>
        <v>145786.91339105257</v>
      </c>
      <c r="P64" s="69">
        <f t="shared" si="15"/>
        <v>0.22081540227736116</v>
      </c>
      <c r="Q64" s="70">
        <f t="shared" si="27"/>
        <v>-1.5981902926022808</v>
      </c>
      <c r="R64" s="21"/>
      <c r="S64" s="71">
        <f t="shared" si="16"/>
        <v>-0.94378190176433441</v>
      </c>
      <c r="T64" s="72">
        <f t="shared" si="17"/>
        <v>1.3346165775178329</v>
      </c>
      <c r="U64" s="73">
        <f t="shared" si="18"/>
        <v>1.4343832482985246</v>
      </c>
      <c r="V64" s="21"/>
      <c r="W64" s="74">
        <f t="shared" si="19"/>
        <v>-0.13482598596633366</v>
      </c>
      <c r="X64" s="72">
        <f t="shared" si="20"/>
        <v>-0.22243609625297189</v>
      </c>
      <c r="Y64" s="73">
        <f t="shared" si="21"/>
        <v>0.20491189261407522</v>
      </c>
    </row>
    <row r="65" spans="2:25">
      <c r="D65" s="38"/>
      <c r="E65" s="64">
        <v>10</v>
      </c>
      <c r="F65" s="65">
        <v>7</v>
      </c>
      <c r="G65" s="132">
        <v>2.1</v>
      </c>
      <c r="H65" s="132">
        <v>-4.0999999999999996</v>
      </c>
      <c r="I65" s="132">
        <v>0</v>
      </c>
      <c r="J65" s="133">
        <v>-0.1</v>
      </c>
      <c r="L65" s="66">
        <f t="shared" si="13"/>
        <v>2.1</v>
      </c>
      <c r="M65" s="67">
        <f t="shared" si="14"/>
        <v>-4.0999999999999996</v>
      </c>
      <c r="N65" s="21"/>
      <c r="O65" s="68">
        <f t="shared" si="26"/>
        <v>449917.40693352808</v>
      </c>
      <c r="P65" s="69">
        <f t="shared" si="15"/>
        <v>8.2639781727350453E-2</v>
      </c>
      <c r="Q65" s="70">
        <f t="shared" si="27"/>
        <v>-0.82554052773764464</v>
      </c>
      <c r="R65" s="21"/>
      <c r="S65" s="71">
        <f t="shared" si="16"/>
        <v>-1.4625233544307221</v>
      </c>
      <c r="T65" s="72">
        <f t="shared" si="17"/>
        <v>-3.9819491474361635</v>
      </c>
      <c r="U65" s="73">
        <f t="shared" si="18"/>
        <v>1.6104463365811754</v>
      </c>
      <c r="V65" s="21"/>
      <c r="W65" s="74">
        <f t="shared" si="19"/>
        <v>-5.9726940931618938E-17</v>
      </c>
      <c r="X65" s="72">
        <f t="shared" si="20"/>
        <v>-9.712071091307721E-2</v>
      </c>
      <c r="Y65" s="73">
        <f t="shared" si="21"/>
        <v>6.5767861365855709E-17</v>
      </c>
    </row>
    <row r="66" spans="2:25">
      <c r="D66" s="38"/>
      <c r="E66" s="64">
        <v>10</v>
      </c>
      <c r="F66" s="65">
        <v>8</v>
      </c>
      <c r="G66" s="132">
        <v>2.2999999999999998</v>
      </c>
      <c r="H66" s="132">
        <v>-2.8</v>
      </c>
      <c r="I66" s="132">
        <v>-0.2</v>
      </c>
      <c r="J66" s="133">
        <v>-0.2</v>
      </c>
      <c r="L66" s="66">
        <f t="shared" si="13"/>
        <v>2.2999999999999998</v>
      </c>
      <c r="M66" s="67">
        <f t="shared" si="14"/>
        <v>-2.8</v>
      </c>
      <c r="N66" s="21"/>
      <c r="O66" s="68">
        <f t="shared" si="26"/>
        <v>924496.68885523558</v>
      </c>
      <c r="P66" s="69">
        <f t="shared" si="15"/>
        <v>2.3108132313493998E-2</v>
      </c>
      <c r="Q66" s="70">
        <f t="shared" si="27"/>
        <v>-0.28919072418758102</v>
      </c>
      <c r="R66" s="21"/>
      <c r="S66" s="71">
        <f t="shared" si="16"/>
        <v>0.56112201915624371</v>
      </c>
      <c r="T66" s="72">
        <f t="shared" si="17"/>
        <v>0.86903549501209598</v>
      </c>
      <c r="U66" s="73">
        <f t="shared" si="18"/>
        <v>-0.49320842115577257</v>
      </c>
      <c r="V66" s="21"/>
      <c r="W66" s="74">
        <f t="shared" si="19"/>
        <v>-4.8793219057064567E-2</v>
      </c>
      <c r="X66" s="72">
        <f t="shared" si="20"/>
        <v>6.2073963929435545E-2</v>
      </c>
      <c r="Y66" s="73">
        <f t="shared" si="21"/>
        <v>4.2887688796154053E-2</v>
      </c>
    </row>
    <row r="67" spans="2:25">
      <c r="D67" s="38"/>
      <c r="E67" s="64">
        <v>10</v>
      </c>
      <c r="F67" s="65">
        <v>9</v>
      </c>
      <c r="G67" s="132">
        <v>-1.8</v>
      </c>
      <c r="H67" s="132">
        <v>-1.1000000000000001</v>
      </c>
      <c r="I67" s="132">
        <v>-0.1</v>
      </c>
      <c r="J67" s="133">
        <v>0.1</v>
      </c>
      <c r="L67" s="66">
        <f t="shared" si="13"/>
        <v>-1.8</v>
      </c>
      <c r="M67" s="67">
        <f t="shared" si="14"/>
        <v>-1.1000000000000001</v>
      </c>
      <c r="N67" s="21"/>
      <c r="O67" s="68">
        <f>(SIN($C$17)*(2*E67-1)*O57/(E67-F67))</f>
        <v>1155992.1016519738</v>
      </c>
      <c r="P67" s="69">
        <f t="shared" si="15"/>
        <v>4.6872978797138001E-3</v>
      </c>
      <c r="Q67" s="70">
        <f t="shared" si="27"/>
        <v>-6.9861962958799956E-2</v>
      </c>
      <c r="R67" s="21"/>
      <c r="S67" s="71">
        <f t="shared" si="16"/>
        <v>0.10608608089984099</v>
      </c>
      <c r="T67" s="72">
        <f t="shared" si="17"/>
        <v>-7.7908061761808048E-2</v>
      </c>
      <c r="U67" s="73">
        <f t="shared" si="18"/>
        <v>-7.8294789483433699E-2</v>
      </c>
      <c r="V67" s="21"/>
      <c r="W67" s="74">
        <f t="shared" si="19"/>
        <v>5.8936711611022874E-3</v>
      </c>
      <c r="X67" s="72">
        <f t="shared" si="20"/>
        <v>7.0825510692552563E-3</v>
      </c>
      <c r="Y67" s="73">
        <f t="shared" si="21"/>
        <v>-4.349710526857435E-3</v>
      </c>
    </row>
    <row r="68" spans="2:25">
      <c r="D68" s="38"/>
      <c r="E68" s="64">
        <v>10</v>
      </c>
      <c r="F68" s="65">
        <v>10</v>
      </c>
      <c r="G68" s="132">
        <v>-3.6</v>
      </c>
      <c r="H68" s="132">
        <v>-8.6999999999999993</v>
      </c>
      <c r="I68" s="132">
        <v>-0.2</v>
      </c>
      <c r="J68" s="133">
        <v>-0.1</v>
      </c>
      <c r="L68" s="66">
        <f t="shared" ref="L68:L93" si="28">G68+($C$29-$J$2)*I68</f>
        <v>-3.6</v>
      </c>
      <c r="M68" s="67">
        <f t="shared" ref="M68:M93" si="29">H68+($C$29-$J$2)*J68</f>
        <v>-8.6999999999999993</v>
      </c>
      <c r="N68" s="21"/>
      <c r="O68" s="68">
        <f>FACTDOUBLE((2*E68-1))*(1-SIN($C$17)^2)^(E68/2)</f>
        <v>671840.65281488805</v>
      </c>
      <c r="P68" s="69">
        <f t="shared" ref="P68:P99" si="30">IF(F68=0,O68,SQRT(2*FACT(E68-F68)/FACT(E68+F68))*O68)</f>
        <v>6.0914259440544567E-4</v>
      </c>
      <c r="Q68" s="70">
        <f t="shared" si="27"/>
        <v>-1.0481116689830693E-2</v>
      </c>
      <c r="R68" s="21"/>
      <c r="S68" s="71">
        <f t="shared" ref="S68:S93" si="31">-1*($C$23/$C$19)^(E68+2)*(L68*COS(F68*$C$18)+M68*SIN(F68*$C$18))*Q68</f>
        <v>-3.1831358467089642E-2</v>
      </c>
      <c r="T68" s="72">
        <f t="shared" ref="T68:T93" si="32">($C$23/$C$19)^(E68+2)*F68*(L68*SIN(F68*$C$18)-M68*COS(F68*$C$18))*P68/COS($C$17)</f>
        <v>8.8973950221373291E-2</v>
      </c>
      <c r="U68" s="73">
        <f t="shared" ref="U68:U93" si="33">-1*(E68+1)*($C$23/$C$19)^(E68+2)*(L68*COS(F68*$C$18)+M68*SIN(F68*$C$18))*P68</f>
        <v>2.0349759037408967E-2</v>
      </c>
      <c r="V68" s="21"/>
      <c r="W68" s="74">
        <f t="shared" ref="W68:W93" si="34">-1*($C$23/$C$19)^(E68+2)*(I68*COS(F68*$C$18)+J68*SIN(F68*$C$18))*Q68</f>
        <v>-1.7684088037272065E-3</v>
      </c>
      <c r="X68" s="72">
        <f t="shared" ref="X68:X93" si="35">($C$23/$C$19)^(E68+2)*(F68*(I68*SIN(F68*$C$18)-J68*COS(F68*$C$18))*P68)/COS($C$17)</f>
        <v>1.0226890830042933E-3</v>
      </c>
      <c r="Y68" s="73">
        <f t="shared" ref="Y68:Y93" si="36">-1*(E68+1)*($C$23/$C$19)^(E68+2)*(I68*COS(F68*$C$18)+J68*SIN(F68*$C$18))*P68</f>
        <v>1.1305421687449453E-3</v>
      </c>
    </row>
    <row r="69" spans="2:25">
      <c r="D69" s="38"/>
      <c r="E69" s="64">
        <v>11</v>
      </c>
      <c r="F69" s="65">
        <v>0</v>
      </c>
      <c r="G69" s="132">
        <v>3.1</v>
      </c>
      <c r="H69" s="132">
        <v>0</v>
      </c>
      <c r="I69" s="132">
        <v>0</v>
      </c>
      <c r="J69" s="133">
        <v>0</v>
      </c>
      <c r="L69" s="66">
        <f t="shared" si="28"/>
        <v>3.1</v>
      </c>
      <c r="M69" s="67">
        <f t="shared" si="29"/>
        <v>0</v>
      </c>
      <c r="N69" s="21"/>
      <c r="O69" s="68">
        <f t="shared" ref="O69:O78" si="37">(SIN($C$17)*(2*E69-1)*O58-(E69+F69-1)*O48)/(E69-F69)</f>
        <v>0.16981957306730247</v>
      </c>
      <c r="P69" s="69">
        <f t="shared" si="30"/>
        <v>0.16981957306730247</v>
      </c>
      <c r="Q69" s="70">
        <f t="shared" ref="Q69:Q80" si="38">((E69+1)*TAN($C$17)*P69)-(SQRT(((E69+1)^2)-(F69^2))*1/COS($C$17)*P81)</f>
        <v>-3.1383637548119774</v>
      </c>
      <c r="R69" s="21"/>
      <c r="S69" s="71">
        <f t="shared" si="31"/>
        <v>8.0919933303060727</v>
      </c>
      <c r="T69" s="72">
        <f t="shared" si="32"/>
        <v>0</v>
      </c>
      <c r="U69" s="73">
        <f t="shared" si="33"/>
        <v>-5.2543769682875334</v>
      </c>
      <c r="V69" s="21"/>
      <c r="W69" s="74">
        <f t="shared" si="34"/>
        <v>0</v>
      </c>
      <c r="X69" s="72">
        <f t="shared" si="35"/>
        <v>0</v>
      </c>
      <c r="Y69" s="73">
        <f t="shared" si="36"/>
        <v>0</v>
      </c>
    </row>
    <row r="70" spans="2:25">
      <c r="D70" s="38"/>
      <c r="E70" s="64">
        <v>11</v>
      </c>
      <c r="F70" s="65">
        <v>1</v>
      </c>
      <c r="G70" s="132">
        <v>-1.5</v>
      </c>
      <c r="H70" s="132">
        <v>-0.1</v>
      </c>
      <c r="I70" s="132">
        <v>0</v>
      </c>
      <c r="J70" s="133">
        <v>0</v>
      </c>
      <c r="L70" s="66">
        <f t="shared" si="28"/>
        <v>-1.5</v>
      </c>
      <c r="M70" s="67">
        <f t="shared" si="29"/>
        <v>-0.1</v>
      </c>
      <c r="N70" s="21"/>
      <c r="O70" s="68">
        <f t="shared" si="37"/>
        <v>-3.1383637548119823</v>
      </c>
      <c r="P70" s="69">
        <f t="shared" si="30"/>
        <v>-0.38630587381530396</v>
      </c>
      <c r="Q70" s="70">
        <f t="shared" si="38"/>
        <v>-3.4239326211067338</v>
      </c>
      <c r="R70" s="21"/>
      <c r="S70" s="71">
        <f t="shared" si="31"/>
        <v>4.2717616409852974</v>
      </c>
      <c r="T70" s="72">
        <f t="shared" si="32"/>
        <v>6.3944234015009385E-2</v>
      </c>
      <c r="U70" s="73">
        <f t="shared" si="33"/>
        <v>5.7835482039998256</v>
      </c>
      <c r="V70" s="21"/>
      <c r="W70" s="74">
        <f t="shared" si="34"/>
        <v>0</v>
      </c>
      <c r="X70" s="72">
        <f t="shared" si="35"/>
        <v>0</v>
      </c>
      <c r="Y70" s="73">
        <f t="shared" si="36"/>
        <v>0</v>
      </c>
    </row>
    <row r="71" spans="2:25">
      <c r="D71" s="38"/>
      <c r="E71" s="64">
        <v>11</v>
      </c>
      <c r="F71" s="65">
        <v>2</v>
      </c>
      <c r="G71" s="132">
        <v>-2.2999999999999998</v>
      </c>
      <c r="H71" s="132">
        <v>2.1</v>
      </c>
      <c r="I71" s="132">
        <v>-0.1</v>
      </c>
      <c r="J71" s="133">
        <v>0.1</v>
      </c>
      <c r="L71" s="66">
        <f t="shared" si="28"/>
        <v>-2.2999999999999998</v>
      </c>
      <c r="M71" s="67">
        <f t="shared" si="29"/>
        <v>2.1</v>
      </c>
      <c r="N71" s="21"/>
      <c r="O71" s="68">
        <f t="shared" si="37"/>
        <v>-33.216136572629985</v>
      </c>
      <c r="P71" s="69">
        <f t="shared" si="30"/>
        <v>-0.35859602700546395</v>
      </c>
      <c r="Q71" s="70">
        <f t="shared" si="38"/>
        <v>3.170539358809342</v>
      </c>
      <c r="R71" s="21"/>
      <c r="S71" s="71">
        <f t="shared" si="31"/>
        <v>6.0652894005804567</v>
      </c>
      <c r="T71" s="72">
        <f t="shared" si="32"/>
        <v>2.4930147132668981</v>
      </c>
      <c r="U71" s="73">
        <f t="shared" si="33"/>
        <v>-8.2319950098457486</v>
      </c>
      <c r="V71" s="21"/>
      <c r="W71" s="74">
        <f t="shared" si="34"/>
        <v>0.263708234807846</v>
      </c>
      <c r="X71" s="72">
        <f t="shared" si="35"/>
        <v>0.11871498634604276</v>
      </c>
      <c r="Y71" s="73">
        <f t="shared" si="36"/>
        <v>-0.35791282651503264</v>
      </c>
    </row>
    <row r="72" spans="2:25">
      <c r="D72" s="38"/>
      <c r="E72" s="64">
        <v>11</v>
      </c>
      <c r="F72" s="65">
        <v>3</v>
      </c>
      <c r="G72" s="132">
        <v>2.1</v>
      </c>
      <c r="H72" s="132">
        <v>-0.7</v>
      </c>
      <c r="I72" s="132">
        <v>0.1</v>
      </c>
      <c r="J72" s="133">
        <v>0</v>
      </c>
      <c r="L72" s="66">
        <f t="shared" si="28"/>
        <v>2.1</v>
      </c>
      <c r="M72" s="67">
        <f t="shared" si="29"/>
        <v>-0.7</v>
      </c>
      <c r="N72" s="21"/>
      <c r="O72" s="68">
        <f t="shared" si="37"/>
        <v>179.37598653506996</v>
      </c>
      <c r="P72" s="69">
        <f t="shared" si="30"/>
        <v>0.17251838588137741</v>
      </c>
      <c r="Q72" s="70">
        <f t="shared" si="38"/>
        <v>4.9157535996523647</v>
      </c>
      <c r="R72" s="21"/>
      <c r="S72" s="71">
        <f t="shared" si="31"/>
        <v>8.5861791051950984</v>
      </c>
      <c r="T72" s="72">
        <f t="shared" si="32"/>
        <v>-0.5996871715268286</v>
      </c>
      <c r="U72" s="73">
        <f t="shared" si="33"/>
        <v>3.6159837471628071</v>
      </c>
      <c r="V72" s="21"/>
      <c r="W72" s="74">
        <f t="shared" si="34"/>
        <v>0.408865671675957</v>
      </c>
      <c r="X72" s="72">
        <f t="shared" si="35"/>
        <v>3.1487391926769227E-17</v>
      </c>
      <c r="Y72" s="73">
        <f t="shared" si="36"/>
        <v>0.1721897022458479</v>
      </c>
    </row>
    <row r="73" spans="2:25">
      <c r="D73" s="38"/>
      <c r="E73" s="64">
        <v>11</v>
      </c>
      <c r="F73" s="65">
        <v>4</v>
      </c>
      <c r="G73" s="132">
        <v>-0.9</v>
      </c>
      <c r="H73" s="132">
        <v>-1.1000000000000001</v>
      </c>
      <c r="I73" s="132">
        <v>0</v>
      </c>
      <c r="J73" s="133">
        <v>0.1</v>
      </c>
      <c r="L73" s="66">
        <f t="shared" si="28"/>
        <v>-0.9</v>
      </c>
      <c r="M73" s="67">
        <f t="shared" si="29"/>
        <v>-1.1000000000000001</v>
      </c>
      <c r="N73" s="21"/>
      <c r="O73" s="68">
        <f t="shared" si="37"/>
        <v>6037.0761068367983</v>
      </c>
      <c r="P73" s="69">
        <f t="shared" si="30"/>
        <v>0.53003812786290283</v>
      </c>
      <c r="Q73" s="70">
        <f t="shared" si="38"/>
        <v>1.7581629973718069</v>
      </c>
      <c r="R73" s="21"/>
      <c r="S73" s="71">
        <f t="shared" si="31"/>
        <v>1.3161099966409342</v>
      </c>
      <c r="T73" s="72">
        <f t="shared" si="32"/>
        <v>3.8603782981836905</v>
      </c>
      <c r="U73" s="73">
        <f t="shared" si="33"/>
        <v>4.7612546485667382</v>
      </c>
      <c r="V73" s="21"/>
      <c r="W73" s="74">
        <f t="shared" si="34"/>
        <v>7.1663561283308027E-17</v>
      </c>
      <c r="X73" s="72">
        <f t="shared" si="35"/>
        <v>-0.35094348165306261</v>
      </c>
      <c r="Y73" s="73">
        <f t="shared" si="36"/>
        <v>2.5925527893857903E-16</v>
      </c>
    </row>
    <row r="74" spans="2:25">
      <c r="D74" s="38"/>
      <c r="E74" s="64">
        <v>11</v>
      </c>
      <c r="F74" s="65">
        <v>5</v>
      </c>
      <c r="G74" s="132">
        <v>0.6</v>
      </c>
      <c r="H74" s="132">
        <v>0.7</v>
      </c>
      <c r="I74" s="132">
        <v>0</v>
      </c>
      <c r="J74" s="133">
        <v>0</v>
      </c>
      <c r="L74" s="66">
        <f t="shared" si="28"/>
        <v>0.6</v>
      </c>
      <c r="M74" s="67">
        <f t="shared" si="29"/>
        <v>0.7</v>
      </c>
      <c r="N74" s="21"/>
      <c r="O74" s="68">
        <f t="shared" si="37"/>
        <v>61575.685561909013</v>
      </c>
      <c r="P74" s="69">
        <f t="shared" si="30"/>
        <v>0.51083507005808915</v>
      </c>
      <c r="Q74" s="70">
        <f t="shared" si="38"/>
        <v>-1.2145944557722199</v>
      </c>
      <c r="R74" s="21"/>
      <c r="S74" s="71">
        <f t="shared" si="31"/>
        <v>-0.60614019955148402</v>
      </c>
      <c r="T74" s="72">
        <f t="shared" si="32"/>
        <v>2.9595032892173747</v>
      </c>
      <c r="U74" s="73">
        <f t="shared" si="33"/>
        <v>3.0591709339497397</v>
      </c>
      <c r="V74" s="21"/>
      <c r="W74" s="74">
        <f t="shared" si="34"/>
        <v>0</v>
      </c>
      <c r="X74" s="72">
        <f t="shared" si="35"/>
        <v>0</v>
      </c>
      <c r="Y74" s="73">
        <f t="shared" si="36"/>
        <v>0</v>
      </c>
    </row>
    <row r="75" spans="2:25">
      <c r="D75" s="38"/>
      <c r="E75" s="64">
        <v>11</v>
      </c>
      <c r="F75" s="65">
        <v>6</v>
      </c>
      <c r="G75" s="132">
        <v>-0.7</v>
      </c>
      <c r="H75" s="132">
        <v>-0.2</v>
      </c>
      <c r="I75" s="132">
        <v>0</v>
      </c>
      <c r="J75" s="133">
        <v>0</v>
      </c>
      <c r="L75" s="66">
        <f t="shared" si="28"/>
        <v>-0.7</v>
      </c>
      <c r="M75" s="67">
        <f t="shared" si="29"/>
        <v>-0.2</v>
      </c>
      <c r="N75" s="21"/>
      <c r="O75" s="68">
        <f t="shared" si="37"/>
        <v>383339.87002885184</v>
      </c>
      <c r="P75" s="69">
        <f t="shared" si="30"/>
        <v>0.31488745187952916</v>
      </c>
      <c r="Q75" s="70">
        <f t="shared" si="38"/>
        <v>-1.9083443255147854</v>
      </c>
      <c r="R75" s="21"/>
      <c r="S75" s="71">
        <f t="shared" si="31"/>
        <v>-1.1110799759106063</v>
      </c>
      <c r="T75" s="72">
        <f t="shared" si="32"/>
        <v>0.62547027967795676</v>
      </c>
      <c r="U75" s="73">
        <f t="shared" si="33"/>
        <v>2.200012677614549</v>
      </c>
      <c r="V75" s="21"/>
      <c r="W75" s="74">
        <f t="shared" si="34"/>
        <v>0</v>
      </c>
      <c r="X75" s="72">
        <f t="shared" si="35"/>
        <v>0</v>
      </c>
      <c r="Y75" s="73">
        <f t="shared" si="36"/>
        <v>0</v>
      </c>
    </row>
    <row r="76" spans="2:25">
      <c r="B76" s="88"/>
      <c r="C76" s="88"/>
      <c r="D76" s="38"/>
      <c r="E76" s="64">
        <v>11</v>
      </c>
      <c r="F76" s="65">
        <v>7</v>
      </c>
      <c r="G76" s="132">
        <v>0.2</v>
      </c>
      <c r="H76" s="132">
        <v>-2.1</v>
      </c>
      <c r="I76" s="132">
        <v>0</v>
      </c>
      <c r="J76" s="133">
        <v>0.1</v>
      </c>
      <c r="L76" s="66">
        <f t="shared" si="28"/>
        <v>0.2</v>
      </c>
      <c r="M76" s="67">
        <f t="shared" si="29"/>
        <v>-2.1</v>
      </c>
      <c r="N76" s="21"/>
      <c r="O76" s="68">
        <f t="shared" si="37"/>
        <v>1634333.0271913523</v>
      </c>
      <c r="P76" s="69">
        <f t="shared" si="30"/>
        <v>0.14151115176891754</v>
      </c>
      <c r="Q76" s="70">
        <f t="shared" si="38"/>
        <v>-1.2828620280233207</v>
      </c>
      <c r="R76" s="21"/>
      <c r="S76" s="71">
        <f t="shared" si="31"/>
        <v>-0.2134029845566032</v>
      </c>
      <c r="T76" s="72">
        <f t="shared" si="32"/>
        <v>-3.4433254946814671</v>
      </c>
      <c r="U76" s="73">
        <f t="shared" si="33"/>
        <v>0.28248308680921186</v>
      </c>
      <c r="V76" s="21"/>
      <c r="W76" s="74">
        <f t="shared" si="34"/>
        <v>9.1507617880842846E-17</v>
      </c>
      <c r="X76" s="72">
        <f t="shared" si="35"/>
        <v>0.1639678806991175</v>
      </c>
      <c r="Y76" s="73">
        <f t="shared" si="36"/>
        <v>-1.2112930106974214E-16</v>
      </c>
    </row>
    <row r="77" spans="2:25">
      <c r="B77" s="88"/>
      <c r="C77" s="88"/>
      <c r="D77" s="38"/>
      <c r="E77" s="64">
        <v>11</v>
      </c>
      <c r="F77" s="65">
        <v>8</v>
      </c>
      <c r="G77" s="132">
        <v>1.7</v>
      </c>
      <c r="H77" s="132">
        <v>-1.5</v>
      </c>
      <c r="I77" s="132">
        <v>0</v>
      </c>
      <c r="J77" s="133">
        <v>0</v>
      </c>
      <c r="L77" s="66">
        <f t="shared" si="28"/>
        <v>1.7</v>
      </c>
      <c r="M77" s="67">
        <f t="shared" si="29"/>
        <v>-1.5</v>
      </c>
      <c r="N77" s="21"/>
      <c r="O77" s="68">
        <f t="shared" si="37"/>
        <v>4868665.2277014293</v>
      </c>
      <c r="P77" s="69">
        <f t="shared" si="30"/>
        <v>4.8356318080738529E-2</v>
      </c>
      <c r="Q77" s="70">
        <f t="shared" si="38"/>
        <v>-0.56803728636018158</v>
      </c>
      <c r="R77" s="21"/>
      <c r="S77" s="71">
        <f t="shared" si="31"/>
        <v>0.80318632994504846</v>
      </c>
      <c r="T77" s="72">
        <f t="shared" si="32"/>
        <v>0.96051587999534072</v>
      </c>
      <c r="U77" s="73">
        <f t="shared" si="33"/>
        <v>-0.82049121594380581</v>
      </c>
      <c r="V77" s="21"/>
      <c r="W77" s="74">
        <f t="shared" si="34"/>
        <v>0</v>
      </c>
      <c r="X77" s="72">
        <f t="shared" si="35"/>
        <v>0</v>
      </c>
      <c r="Y77" s="73">
        <f t="shared" si="36"/>
        <v>0</v>
      </c>
    </row>
    <row r="78" spans="2:25">
      <c r="B78" s="88"/>
      <c r="C78" s="88"/>
      <c r="D78" s="38"/>
      <c r="E78" s="64">
        <v>11</v>
      </c>
      <c r="F78" s="65">
        <v>9</v>
      </c>
      <c r="G78" s="132">
        <v>-0.2</v>
      </c>
      <c r="H78" s="132">
        <v>-2.5</v>
      </c>
      <c r="I78" s="132">
        <v>0</v>
      </c>
      <c r="J78" s="133">
        <v>-0.1</v>
      </c>
      <c r="L78" s="66">
        <f t="shared" si="28"/>
        <v>-0.2</v>
      </c>
      <c r="M78" s="67">
        <f t="shared" si="29"/>
        <v>-2.5</v>
      </c>
      <c r="N78" s="21"/>
      <c r="O78" s="68">
        <f t="shared" si="37"/>
        <v>9825771.6208687983</v>
      </c>
      <c r="P78" s="69">
        <f t="shared" si="30"/>
        <v>1.2598950014169073E-2</v>
      </c>
      <c r="Q78" s="70">
        <f t="shared" si="38"/>
        <v>-0.1794627542646749</v>
      </c>
      <c r="R78" s="21"/>
      <c r="S78" s="71">
        <f t="shared" si="31"/>
        <v>2.9853473358970463E-2</v>
      </c>
      <c r="T78" s="72">
        <f t="shared" si="32"/>
        <v>-0.46923127267225367</v>
      </c>
      <c r="U78" s="73">
        <f t="shared" si="33"/>
        <v>-2.5149892754523416E-2</v>
      </c>
      <c r="V78" s="21"/>
      <c r="W78" s="74">
        <f t="shared" si="34"/>
        <v>-1.6458721541729464E-17</v>
      </c>
      <c r="X78" s="72">
        <f t="shared" si="35"/>
        <v>-1.8769250906890148E-2</v>
      </c>
      <c r="Y78" s="73">
        <f t="shared" si="36"/>
        <v>1.3865558512195028E-17</v>
      </c>
    </row>
    <row r="79" spans="2:25">
      <c r="B79" s="88"/>
      <c r="C79" s="88"/>
      <c r="D79" s="38"/>
      <c r="E79" s="64">
        <v>11</v>
      </c>
      <c r="F79" s="65">
        <v>10</v>
      </c>
      <c r="G79" s="132">
        <v>0.4</v>
      </c>
      <c r="H79" s="132">
        <v>-2</v>
      </c>
      <c r="I79" s="132">
        <v>-0.1</v>
      </c>
      <c r="J79" s="133">
        <v>0</v>
      </c>
      <c r="L79" s="66">
        <f t="shared" si="28"/>
        <v>0.4</v>
      </c>
      <c r="M79" s="67">
        <f t="shared" si="29"/>
        <v>-2</v>
      </c>
      <c r="N79" s="21"/>
      <c r="O79" s="68">
        <f>(SIN($C$17)*(2*E79-1)*O68/(E79-F79))</f>
        <v>12198168.457337812</v>
      </c>
      <c r="P79" s="69">
        <f t="shared" si="30"/>
        <v>2.4134464592465822E-3</v>
      </c>
      <c r="Q79" s="70">
        <f t="shared" si="38"/>
        <v>-4.0123939436200247E-2</v>
      </c>
      <c r="R79" s="21"/>
      <c r="S79" s="71">
        <f t="shared" si="31"/>
        <v>1.3349164977697576E-2</v>
      </c>
      <c r="T79" s="72">
        <f t="shared" si="32"/>
        <v>7.9898337371149306E-2</v>
      </c>
      <c r="U79" s="73">
        <f t="shared" si="33"/>
        <v>-9.6353933542993216E-3</v>
      </c>
      <c r="V79" s="21"/>
      <c r="W79" s="74">
        <f t="shared" si="34"/>
        <v>-3.3372912444243731E-3</v>
      </c>
      <c r="X79" s="72">
        <f t="shared" si="35"/>
        <v>4.8943662290015618E-18</v>
      </c>
      <c r="Y79" s="73">
        <f t="shared" si="36"/>
        <v>2.4088483385748156E-3</v>
      </c>
    </row>
    <row r="80" spans="2:25">
      <c r="B80" s="88"/>
      <c r="C80" s="88"/>
      <c r="D80" s="38"/>
      <c r="E80" s="64">
        <v>11</v>
      </c>
      <c r="F80" s="65">
        <v>11</v>
      </c>
      <c r="G80" s="132">
        <v>3.5</v>
      </c>
      <c r="H80" s="132">
        <v>-2.2999999999999998</v>
      </c>
      <c r="I80" s="132">
        <v>-0.1</v>
      </c>
      <c r="J80" s="133">
        <v>-0.1</v>
      </c>
      <c r="L80" s="66">
        <f t="shared" si="28"/>
        <v>3.5</v>
      </c>
      <c r="M80" s="67">
        <f t="shared" si="29"/>
        <v>-2.2999999999999998</v>
      </c>
      <c r="N80" s="21"/>
      <c r="O80" s="68">
        <f>FACTDOUBLE((2*E80-1))*(1-SIN($C$17)^2)^(E80/2)</f>
        <v>7089343.8180177845</v>
      </c>
      <c r="P80" s="69">
        <f t="shared" si="30"/>
        <v>2.9904582311146338E-4</v>
      </c>
      <c r="Q80" s="70">
        <f t="shared" si="38"/>
        <v>-5.660033653970109E-3</v>
      </c>
      <c r="R80" s="21"/>
      <c r="S80" s="71">
        <f t="shared" si="31"/>
        <v>-1.6476979473318918E-2</v>
      </c>
      <c r="T80" s="72">
        <f t="shared" si="32"/>
        <v>-1.2523575538896384E-2</v>
      </c>
      <c r="U80" s="73">
        <f t="shared" si="33"/>
        <v>1.044666273784392E-2</v>
      </c>
      <c r="V80" s="21"/>
      <c r="W80" s="74">
        <f t="shared" si="34"/>
        <v>4.7077084209482244E-4</v>
      </c>
      <c r="X80" s="72">
        <f t="shared" si="35"/>
        <v>-5.4450328429984972E-4</v>
      </c>
      <c r="Y80" s="73">
        <f t="shared" si="36"/>
        <v>-2.9847607822410964E-4</v>
      </c>
    </row>
    <row r="81" spans="2:25">
      <c r="B81" s="88"/>
      <c r="C81" s="88"/>
      <c r="D81" s="38"/>
      <c r="E81" s="64">
        <v>12</v>
      </c>
      <c r="F81" s="65">
        <v>0</v>
      </c>
      <c r="G81" s="132">
        <v>-2</v>
      </c>
      <c r="H81" s="132">
        <v>0</v>
      </c>
      <c r="I81" s="132">
        <v>0.1</v>
      </c>
      <c r="J81" s="133">
        <v>0</v>
      </c>
      <c r="L81" s="66">
        <f t="shared" si="28"/>
        <v>-2</v>
      </c>
      <c r="M81" s="67">
        <f t="shared" si="29"/>
        <v>0</v>
      </c>
      <c r="N81" s="21"/>
      <c r="O81" s="68">
        <f t="shared" ref="O81:O91" si="39">(SIN($C$17)*(2*E81-1)*O69-(E81+F81-1)*O58)/(E81-F81)</f>
        <v>0.27823817548811225</v>
      </c>
      <c r="P81" s="69">
        <f t="shared" si="30"/>
        <v>0.27823817548811225</v>
      </c>
      <c r="Q81" s="70">
        <f t="shared" ref="Q81:Q93" si="40">((E81+1)*TAN($C$17)*P81)-(SQRT(((E81+1)^2)-(F81^2))*1/COS($C$17)*P94)</f>
        <v>-1.6894154585541692</v>
      </c>
      <c r="R81" s="21"/>
      <c r="S81" s="71">
        <f t="shared" si="31"/>
        <v>-2.7707824530536036</v>
      </c>
      <c r="T81" s="72">
        <f t="shared" si="32"/>
        <v>0</v>
      </c>
      <c r="U81" s="73">
        <f t="shared" si="33"/>
        <v>5.9323400035267815</v>
      </c>
      <c r="V81" s="21"/>
      <c r="W81" s="74">
        <f t="shared" si="34"/>
        <v>0.13853912265268017</v>
      </c>
      <c r="X81" s="72">
        <f t="shared" si="35"/>
        <v>0</v>
      </c>
      <c r="Y81" s="73">
        <f t="shared" si="36"/>
        <v>-0.29661700017633907</v>
      </c>
    </row>
    <row r="82" spans="2:25">
      <c r="B82" s="88"/>
      <c r="C82" s="88"/>
      <c r="D82" s="38"/>
      <c r="E82" s="64">
        <v>12</v>
      </c>
      <c r="F82" s="65">
        <v>1</v>
      </c>
      <c r="G82" s="132">
        <v>-0.3</v>
      </c>
      <c r="H82" s="132">
        <v>-1</v>
      </c>
      <c r="I82" s="132">
        <v>0</v>
      </c>
      <c r="J82" s="133">
        <v>0</v>
      </c>
      <c r="L82" s="66">
        <f t="shared" si="28"/>
        <v>-0.3</v>
      </c>
      <c r="M82" s="67">
        <f t="shared" si="29"/>
        <v>-1</v>
      </c>
      <c r="N82" s="21"/>
      <c r="O82" s="68">
        <f t="shared" si="39"/>
        <v>-1.6894154585541721</v>
      </c>
      <c r="P82" s="69">
        <f t="shared" si="30"/>
        <v>-0.19128863248497502</v>
      </c>
      <c r="Q82" s="70">
        <f t="shared" si="40"/>
        <v>-5.2438038504651256</v>
      </c>
      <c r="R82" s="21"/>
      <c r="S82" s="71">
        <f t="shared" si="31"/>
        <v>1.2900414420759088</v>
      </c>
      <c r="T82" s="72">
        <f t="shared" si="32"/>
        <v>0.31217970540603807</v>
      </c>
      <c r="U82" s="73">
        <f t="shared" si="33"/>
        <v>0.61177220094966811</v>
      </c>
      <c r="V82" s="21"/>
      <c r="W82" s="74">
        <f t="shared" si="34"/>
        <v>0</v>
      </c>
      <c r="X82" s="72">
        <f t="shared" si="35"/>
        <v>0</v>
      </c>
      <c r="Y82" s="73">
        <f t="shared" si="36"/>
        <v>0</v>
      </c>
    </row>
    <row r="83" spans="2:25">
      <c r="B83" s="88"/>
      <c r="C83" s="88"/>
      <c r="D83" s="38"/>
      <c r="E83" s="64">
        <v>12</v>
      </c>
      <c r="F83" s="65">
        <v>2</v>
      </c>
      <c r="G83" s="132">
        <v>0.4</v>
      </c>
      <c r="H83" s="132">
        <v>0.5</v>
      </c>
      <c r="I83" s="132">
        <v>0</v>
      </c>
      <c r="J83" s="133">
        <v>0</v>
      </c>
      <c r="L83" s="66">
        <f t="shared" si="28"/>
        <v>0.4</v>
      </c>
      <c r="M83" s="67">
        <f t="shared" si="29"/>
        <v>0.5</v>
      </c>
      <c r="N83" s="21"/>
      <c r="O83" s="68">
        <f t="shared" si="39"/>
        <v>-49.218887898328759</v>
      </c>
      <c r="P83" s="69">
        <f t="shared" si="30"/>
        <v>-0.44908043517662771</v>
      </c>
      <c r="Q83" s="70">
        <f t="shared" si="40"/>
        <v>0.82842306039272451</v>
      </c>
      <c r="R83" s="21"/>
      <c r="S83" s="71">
        <f t="shared" si="31"/>
        <v>-0.2717366018901653</v>
      </c>
      <c r="T83" s="72">
        <f t="shared" si="32"/>
        <v>0.73289142243236394</v>
      </c>
      <c r="U83" s="73">
        <f t="shared" si="33"/>
        <v>1.9149764950304939</v>
      </c>
      <c r="V83" s="21"/>
      <c r="W83" s="74">
        <f t="shared" si="34"/>
        <v>0</v>
      </c>
      <c r="X83" s="72">
        <f t="shared" si="35"/>
        <v>0</v>
      </c>
      <c r="Y83" s="73">
        <f t="shared" si="36"/>
        <v>0</v>
      </c>
    </row>
    <row r="84" spans="2:25">
      <c r="B84" s="88"/>
      <c r="C84" s="88"/>
      <c r="D84" s="38"/>
      <c r="E84" s="64">
        <v>12</v>
      </c>
      <c r="F84" s="65">
        <v>3</v>
      </c>
      <c r="G84" s="132">
        <v>1.3</v>
      </c>
      <c r="H84" s="132">
        <v>1.8</v>
      </c>
      <c r="I84" s="132">
        <v>0.1</v>
      </c>
      <c r="J84" s="133">
        <v>-0.1</v>
      </c>
      <c r="L84" s="66">
        <f t="shared" si="28"/>
        <v>1.3</v>
      </c>
      <c r="M84" s="67">
        <f t="shared" si="29"/>
        <v>1.8</v>
      </c>
      <c r="N84" s="21"/>
      <c r="O84" s="68">
        <f t="shared" si="39"/>
        <v>-78.580855160014181</v>
      </c>
      <c r="P84" s="69">
        <f t="shared" si="30"/>
        <v>-5.8541447879370351E-2</v>
      </c>
      <c r="Q84" s="70">
        <f t="shared" si="40"/>
        <v>5.1979043207535076</v>
      </c>
      <c r="R84" s="21"/>
      <c r="S84" s="71">
        <f t="shared" si="31"/>
        <v>5.5412481918442174</v>
      </c>
      <c r="T84" s="72">
        <f t="shared" si="32"/>
        <v>-0.51590854754050952</v>
      </c>
      <c r="U84" s="73">
        <f t="shared" si="33"/>
        <v>-0.81130870029408642</v>
      </c>
      <c r="V84" s="21"/>
      <c r="W84" s="74">
        <f t="shared" si="34"/>
        <v>0.42624986091109407</v>
      </c>
      <c r="X84" s="72">
        <f t="shared" si="35"/>
        <v>2.8661585974472728E-2</v>
      </c>
      <c r="Y84" s="73">
        <f t="shared" si="36"/>
        <v>-6.2408361561083633E-2</v>
      </c>
    </row>
    <row r="85" spans="2:25">
      <c r="B85" s="88"/>
      <c r="C85" s="88"/>
      <c r="D85" s="38"/>
      <c r="E85" s="64">
        <v>12</v>
      </c>
      <c r="F85" s="65">
        <v>4</v>
      </c>
      <c r="G85" s="132">
        <v>-0.9</v>
      </c>
      <c r="H85" s="132">
        <v>-2.2000000000000002</v>
      </c>
      <c r="I85" s="132">
        <v>-0.1</v>
      </c>
      <c r="J85" s="133">
        <v>0</v>
      </c>
      <c r="L85" s="66">
        <f t="shared" si="28"/>
        <v>-0.9</v>
      </c>
      <c r="M85" s="67">
        <f t="shared" si="29"/>
        <v>-2.2000000000000002</v>
      </c>
      <c r="N85" s="21"/>
      <c r="O85" s="68">
        <f t="shared" si="39"/>
        <v>6571.5796752264541</v>
      </c>
      <c r="P85" s="69">
        <f t="shared" si="30"/>
        <v>0.40797658693818672</v>
      </c>
      <c r="Q85" s="70">
        <f t="shared" si="40"/>
        <v>3.5104114844443179</v>
      </c>
      <c r="R85" s="21"/>
      <c r="S85" s="71">
        <f t="shared" si="31"/>
        <v>2.5908156118028844</v>
      </c>
      <c r="T85" s="72">
        <f t="shared" si="32"/>
        <v>5.8591338115701417</v>
      </c>
      <c r="U85" s="73">
        <f t="shared" si="33"/>
        <v>3.9143267106587545</v>
      </c>
      <c r="V85" s="21"/>
      <c r="W85" s="74">
        <f t="shared" si="34"/>
        <v>0.28786840131143199</v>
      </c>
      <c r="X85" s="72">
        <f t="shared" si="35"/>
        <v>1.3051470429723655E-16</v>
      </c>
      <c r="Y85" s="73">
        <f t="shared" si="36"/>
        <v>0.43492519007319547</v>
      </c>
    </row>
    <row r="86" spans="2:25">
      <c r="B86" s="88"/>
      <c r="C86" s="88"/>
      <c r="D86" s="38"/>
      <c r="E86" s="64">
        <v>12</v>
      </c>
      <c r="F86" s="65">
        <v>5</v>
      </c>
      <c r="G86" s="132">
        <v>0.9</v>
      </c>
      <c r="H86" s="132">
        <v>0.3</v>
      </c>
      <c r="I86" s="132">
        <v>0</v>
      </c>
      <c r="J86" s="133">
        <v>0</v>
      </c>
      <c r="L86" s="66">
        <f t="shared" si="28"/>
        <v>0.9</v>
      </c>
      <c r="M86" s="67">
        <f t="shared" si="29"/>
        <v>0.3</v>
      </c>
      <c r="N86" s="21"/>
      <c r="O86" s="68">
        <f t="shared" si="39"/>
        <v>101773.92866785738</v>
      </c>
      <c r="P86" s="69">
        <f t="shared" si="30"/>
        <v>0.54179194994918045</v>
      </c>
      <c r="Q86" s="70">
        <f t="shared" si="40"/>
        <v>-9.6654520476601391E-2</v>
      </c>
      <c r="R86" s="21"/>
      <c r="S86" s="71">
        <f t="shared" si="31"/>
        <v>-7.1334668802150447E-2</v>
      </c>
      <c r="T86" s="72">
        <f t="shared" si="32"/>
        <v>1.3262924915816685</v>
      </c>
      <c r="U86" s="73">
        <f t="shared" si="33"/>
        <v>5.1982166849866038</v>
      </c>
      <c r="V86" s="21"/>
      <c r="W86" s="74">
        <f t="shared" si="34"/>
        <v>0</v>
      </c>
      <c r="X86" s="72">
        <f t="shared" si="35"/>
        <v>0</v>
      </c>
      <c r="Y86" s="73">
        <f t="shared" si="36"/>
        <v>0</v>
      </c>
    </row>
    <row r="87" spans="2:25">
      <c r="B87" s="88"/>
      <c r="C87" s="88"/>
      <c r="D87" s="38"/>
      <c r="E87" s="64">
        <v>12</v>
      </c>
      <c r="F87" s="65">
        <v>6</v>
      </c>
      <c r="G87" s="132">
        <v>0.1</v>
      </c>
      <c r="H87" s="132">
        <v>0.7</v>
      </c>
      <c r="I87" s="132">
        <v>0.1</v>
      </c>
      <c r="J87" s="133">
        <v>0</v>
      </c>
      <c r="L87" s="66">
        <f t="shared" si="28"/>
        <v>0.1</v>
      </c>
      <c r="M87" s="67">
        <f t="shared" si="29"/>
        <v>0.7</v>
      </c>
      <c r="N87" s="21"/>
      <c r="O87" s="68">
        <f t="shared" si="39"/>
        <v>857422.33516210539</v>
      </c>
      <c r="P87" s="69">
        <f t="shared" si="30"/>
        <v>0.40663572249211016</v>
      </c>
      <c r="Q87" s="70">
        <f t="shared" si="40"/>
        <v>-1.8835712145362749</v>
      </c>
      <c r="R87" s="21"/>
      <c r="S87" s="71">
        <f t="shared" si="31"/>
        <v>0.1544607054436577</v>
      </c>
      <c r="T87" s="72">
        <f t="shared" si="32"/>
        <v>-2.7872140508586845</v>
      </c>
      <c r="U87" s="73">
        <f t="shared" si="33"/>
        <v>-0.43349575578028721</v>
      </c>
      <c r="V87" s="21"/>
      <c r="W87" s="74">
        <f t="shared" si="34"/>
        <v>0.15446070544365847</v>
      </c>
      <c r="X87" s="72">
        <f t="shared" si="35"/>
        <v>-2.9269294182078109E-16</v>
      </c>
      <c r="Y87" s="73">
        <f t="shared" si="36"/>
        <v>-0.43349575578028937</v>
      </c>
    </row>
    <row r="88" spans="2:25">
      <c r="B88" s="88"/>
      <c r="C88" s="88"/>
      <c r="D88" s="38"/>
      <c r="E88" s="64">
        <v>12</v>
      </c>
      <c r="F88" s="65">
        <v>7</v>
      </c>
      <c r="G88" s="132">
        <v>0.5</v>
      </c>
      <c r="H88" s="132">
        <v>-0.1</v>
      </c>
      <c r="I88" s="132">
        <v>0</v>
      </c>
      <c r="J88" s="133">
        <v>0</v>
      </c>
      <c r="L88" s="66">
        <f t="shared" si="28"/>
        <v>0.5</v>
      </c>
      <c r="M88" s="67">
        <f t="shared" si="29"/>
        <v>-0.1</v>
      </c>
      <c r="N88" s="21"/>
      <c r="O88" s="68">
        <f t="shared" si="39"/>
        <v>4880208.8052382637</v>
      </c>
      <c r="P88" s="69">
        <f t="shared" si="30"/>
        <v>0.21676877055323199</v>
      </c>
      <c r="Q88" s="70">
        <f t="shared" si="40"/>
        <v>-1.7308228882421197</v>
      </c>
      <c r="R88" s="21"/>
      <c r="S88" s="71">
        <f t="shared" si="31"/>
        <v>-0.70967352402899997</v>
      </c>
      <c r="T88" s="72">
        <f t="shared" si="32"/>
        <v>-0.24763399182382886</v>
      </c>
      <c r="U88" s="73">
        <f t="shared" si="33"/>
        <v>1.1554363871998568</v>
      </c>
      <c r="V88" s="21"/>
      <c r="W88" s="74">
        <f t="shared" si="34"/>
        <v>0</v>
      </c>
      <c r="X88" s="72">
        <f t="shared" si="35"/>
        <v>0</v>
      </c>
      <c r="Y88" s="73">
        <f t="shared" si="36"/>
        <v>0</v>
      </c>
    </row>
    <row r="89" spans="2:25">
      <c r="B89" s="88"/>
      <c r="C89" s="88"/>
      <c r="D89" s="38"/>
      <c r="E89" s="64">
        <v>12</v>
      </c>
      <c r="F89" s="65">
        <v>8</v>
      </c>
      <c r="G89" s="132">
        <v>-0.4</v>
      </c>
      <c r="H89" s="132">
        <v>0.3</v>
      </c>
      <c r="I89" s="132">
        <v>0</v>
      </c>
      <c r="J89" s="133">
        <v>0</v>
      </c>
      <c r="L89" s="66">
        <f t="shared" si="28"/>
        <v>-0.4</v>
      </c>
      <c r="M89" s="67">
        <f t="shared" si="29"/>
        <v>0.3</v>
      </c>
      <c r="N89" s="21"/>
      <c r="O89" s="68">
        <f t="shared" si="39"/>
        <v>19812622.131654155</v>
      </c>
      <c r="P89" s="69">
        <f t="shared" si="30"/>
        <v>8.8003565263530661E-2</v>
      </c>
      <c r="Q89" s="70">
        <f t="shared" si="40"/>
        <v>-0.95631205047935897</v>
      </c>
      <c r="R89" s="21"/>
      <c r="S89" s="71">
        <f t="shared" si="31"/>
        <v>-0.31368632691210346</v>
      </c>
      <c r="T89" s="72">
        <f t="shared" si="32"/>
        <v>-0.34468867350985405</v>
      </c>
      <c r="U89" s="73">
        <f t="shared" si="33"/>
        <v>0.37526631257552118</v>
      </c>
      <c r="V89" s="21"/>
      <c r="W89" s="74">
        <f t="shared" si="34"/>
        <v>0</v>
      </c>
      <c r="X89" s="72">
        <f t="shared" si="35"/>
        <v>0</v>
      </c>
      <c r="Y89" s="73">
        <f t="shared" si="36"/>
        <v>0</v>
      </c>
    </row>
    <row r="90" spans="2:25">
      <c r="B90" s="88"/>
      <c r="C90" s="88"/>
      <c r="D90" s="38"/>
      <c r="E90" s="64">
        <v>12</v>
      </c>
      <c r="F90" s="65">
        <v>9</v>
      </c>
      <c r="G90" s="132">
        <v>-0.4</v>
      </c>
      <c r="H90" s="132">
        <v>0.2</v>
      </c>
      <c r="I90" s="132">
        <v>0</v>
      </c>
      <c r="J90" s="133">
        <v>0</v>
      </c>
      <c r="L90" s="66">
        <f t="shared" si="28"/>
        <v>-0.4</v>
      </c>
      <c r="M90" s="67">
        <f t="shared" si="29"/>
        <v>0.2</v>
      </c>
      <c r="N90" s="21"/>
      <c r="O90" s="68">
        <f t="shared" si="39"/>
        <v>57423569.168153226</v>
      </c>
      <c r="P90" s="69">
        <f t="shared" si="30"/>
        <v>2.7829720833019472E-2</v>
      </c>
      <c r="Q90" s="70">
        <f t="shared" si="40"/>
        <v>-0.37560303717954935</v>
      </c>
      <c r="R90" s="21"/>
      <c r="S90" s="71">
        <f t="shared" si="31"/>
        <v>0.12320407031452139</v>
      </c>
      <c r="T90" s="72">
        <f t="shared" si="32"/>
        <v>8.1751712524579953E-2</v>
      </c>
      <c r="U90" s="73">
        <f t="shared" si="33"/>
        <v>-0.11867197295631914</v>
      </c>
      <c r="V90" s="21"/>
      <c r="W90" s="74">
        <f t="shared" si="34"/>
        <v>0</v>
      </c>
      <c r="X90" s="72">
        <f t="shared" si="35"/>
        <v>0</v>
      </c>
      <c r="Y90" s="73">
        <f t="shared" si="36"/>
        <v>0</v>
      </c>
    </row>
    <row r="91" spans="2:25">
      <c r="B91" s="88"/>
      <c r="C91" s="88"/>
      <c r="D91" s="38"/>
      <c r="E91" s="64">
        <v>12</v>
      </c>
      <c r="F91" s="65">
        <v>10</v>
      </c>
      <c r="G91" s="132">
        <v>0.2</v>
      </c>
      <c r="H91" s="132">
        <v>-0.9</v>
      </c>
      <c r="I91" s="132">
        <v>0</v>
      </c>
      <c r="J91" s="133">
        <v>0</v>
      </c>
      <c r="L91" s="66">
        <f t="shared" si="28"/>
        <v>0.2</v>
      </c>
      <c r="M91" s="67">
        <f t="shared" si="29"/>
        <v>-0.9</v>
      </c>
      <c r="N91" s="21"/>
      <c r="O91" s="68">
        <f t="shared" si="39"/>
        <v>114229116.83795451</v>
      </c>
      <c r="P91" s="69">
        <f t="shared" si="30"/>
        <v>6.8143356020500005E-3</v>
      </c>
      <c r="Q91" s="70">
        <f t="shared" si="40"/>
        <v>-0.10883992208009383</v>
      </c>
      <c r="R91" s="21"/>
      <c r="S91" s="71">
        <f t="shared" si="31"/>
        <v>1.7850656258901372E-2</v>
      </c>
      <c r="T91" s="72">
        <f t="shared" si="32"/>
        <v>0.1000878895852655</v>
      </c>
      <c r="U91" s="73">
        <f t="shared" si="33"/>
        <v>-1.4528903382356084E-2</v>
      </c>
      <c r="V91" s="21"/>
      <c r="W91" s="74">
        <f t="shared" si="34"/>
        <v>0</v>
      </c>
      <c r="X91" s="72">
        <f t="shared" si="35"/>
        <v>0</v>
      </c>
      <c r="Y91" s="73">
        <f t="shared" si="36"/>
        <v>0</v>
      </c>
    </row>
    <row r="92" spans="2:25">
      <c r="B92" s="88"/>
      <c r="C92" s="88"/>
      <c r="D92" s="38"/>
      <c r="E92" s="64">
        <v>12</v>
      </c>
      <c r="F92" s="65">
        <v>11</v>
      </c>
      <c r="G92" s="132">
        <v>-0.9</v>
      </c>
      <c r="H92" s="132">
        <v>-0.2</v>
      </c>
      <c r="I92" s="132">
        <v>0</v>
      </c>
      <c r="J92" s="133">
        <v>0</v>
      </c>
      <c r="L92" s="66">
        <f t="shared" si="28"/>
        <v>-0.9</v>
      </c>
      <c r="M92" s="67">
        <f t="shared" si="29"/>
        <v>-0.2</v>
      </c>
      <c r="N92" s="21"/>
      <c r="O92" s="68">
        <f>(SIN($C$17)*(2*E92-1)*O80/(E92-F92))</f>
        <v>140975267.68490964</v>
      </c>
      <c r="P92" s="69">
        <f t="shared" si="30"/>
        <v>1.2399686683609178E-3</v>
      </c>
      <c r="Q92" s="70">
        <f t="shared" si="40"/>
        <v>-2.2748213215254189E-2</v>
      </c>
      <c r="R92" s="21"/>
      <c r="S92" s="71">
        <f t="shared" si="31"/>
        <v>1.6789036328039082E-2</v>
      </c>
      <c r="T92" s="72">
        <f t="shared" si="32"/>
        <v>-4.4519358357088578E-3</v>
      </c>
      <c r="U92" s="73">
        <f t="shared" si="33"/>
        <v>-1.1896865247516011E-2</v>
      </c>
      <c r="V92" s="21"/>
      <c r="W92" s="74">
        <f t="shared" si="34"/>
        <v>0</v>
      </c>
      <c r="X92" s="72">
        <f t="shared" si="35"/>
        <v>0</v>
      </c>
      <c r="Y92" s="73">
        <f t="shared" si="36"/>
        <v>0</v>
      </c>
    </row>
    <row r="93" spans="2:25" ht="15.75" thickBot="1">
      <c r="B93" s="88"/>
      <c r="C93" s="88"/>
      <c r="D93" s="38"/>
      <c r="E93" s="64">
        <v>12</v>
      </c>
      <c r="F93" s="65">
        <v>12</v>
      </c>
      <c r="G93" s="132">
        <v>0</v>
      </c>
      <c r="H93" s="132">
        <v>0.7</v>
      </c>
      <c r="I93" s="132">
        <v>0</v>
      </c>
      <c r="J93" s="133">
        <v>0</v>
      </c>
      <c r="L93" s="89">
        <f t="shared" si="28"/>
        <v>0</v>
      </c>
      <c r="M93" s="90">
        <f t="shared" si="29"/>
        <v>0.7</v>
      </c>
      <c r="N93" s="21"/>
      <c r="O93" s="68">
        <f>FACTDOUBLE((2*E93-1))*(1-SIN($C$17)^2)^(E93/2)</f>
        <v>81932147.924569249</v>
      </c>
      <c r="P93" s="69">
        <f t="shared" si="30"/>
        <v>1.4710129741847151E-4</v>
      </c>
      <c r="Q93" s="70">
        <f t="shared" si="40"/>
        <v>-3.0372905345225848E-3</v>
      </c>
      <c r="R93" s="21"/>
      <c r="S93" s="91">
        <f t="shared" si="31"/>
        <v>-2.5632461199311515E-18</v>
      </c>
      <c r="T93" s="92">
        <f t="shared" si="32"/>
        <v>-2.0165606727887081E-3</v>
      </c>
      <c r="U93" s="87">
        <f t="shared" si="33"/>
        <v>1.6138524557552867E-18</v>
      </c>
      <c r="V93" s="21"/>
      <c r="W93" s="93">
        <f t="shared" si="34"/>
        <v>0</v>
      </c>
      <c r="X93" s="92">
        <f t="shared" si="35"/>
        <v>0</v>
      </c>
      <c r="Y93" s="87">
        <f t="shared" si="36"/>
        <v>0</v>
      </c>
    </row>
    <row r="94" spans="2:25" ht="15.75" thickBot="1">
      <c r="E94" s="64">
        <v>13</v>
      </c>
      <c r="F94" s="65">
        <v>0</v>
      </c>
      <c r="G94" s="94" t="s">
        <v>24</v>
      </c>
      <c r="H94" s="94" t="s">
        <v>24</v>
      </c>
      <c r="I94" s="94" t="s">
        <v>24</v>
      </c>
      <c r="J94" s="95" t="s">
        <v>24</v>
      </c>
      <c r="O94" s="68">
        <f t="shared" ref="O94:O105" si="41">(SIN($C$17)*(2*E94-1)*O81-(E94+F94-1)*O69)/(E94-F94)</f>
        <v>0.30586136358388688</v>
      </c>
      <c r="P94" s="69">
        <f t="shared" si="30"/>
        <v>0.30586136358388688</v>
      </c>
      <c r="Q94" s="96" t="s">
        <v>24</v>
      </c>
      <c r="R94" s="21"/>
      <c r="S94" s="114">
        <f>SUM(S4:S93)</f>
        <v>16904.970903521913</v>
      </c>
      <c r="T94" s="115">
        <f>SUM(T4:T93)</f>
        <v>1035.3188712662093</v>
      </c>
      <c r="U94" s="116">
        <f>SUM(U4:U93)</f>
        <v>48534.567837473071</v>
      </c>
      <c r="W94" s="117">
        <f>SUM(W4:W93)</f>
        <v>-18.027952841031961</v>
      </c>
      <c r="X94" s="118">
        <f>SUM(X4:X93)</f>
        <v>-55.182102516375508</v>
      </c>
      <c r="Y94" s="119">
        <f>SUM(Y4:Y93)</f>
        <v>45.102687440811032</v>
      </c>
    </row>
    <row r="95" spans="2:25">
      <c r="E95" s="64">
        <v>13</v>
      </c>
      <c r="F95" s="65">
        <v>1</v>
      </c>
      <c r="G95" s="94" t="s">
        <v>24</v>
      </c>
      <c r="H95" s="94" t="s">
        <v>24</v>
      </c>
      <c r="I95" s="94" t="s">
        <v>24</v>
      </c>
      <c r="J95" s="95" t="s">
        <v>24</v>
      </c>
      <c r="O95" s="68">
        <f t="shared" si="41"/>
        <v>0.35687776504182506</v>
      </c>
      <c r="P95" s="69">
        <f t="shared" si="30"/>
        <v>3.7410954965655267E-2</v>
      </c>
      <c r="Q95" s="96" t="s">
        <v>24</v>
      </c>
      <c r="R95" s="21"/>
    </row>
    <row r="96" spans="2:25">
      <c r="E96" s="64">
        <v>13</v>
      </c>
      <c r="F96" s="65">
        <v>2</v>
      </c>
      <c r="G96" s="94" t="s">
        <v>24</v>
      </c>
      <c r="H96" s="94" t="s">
        <v>24</v>
      </c>
      <c r="I96" s="94" t="s">
        <v>24</v>
      </c>
      <c r="J96" s="95" t="s">
        <v>24</v>
      </c>
      <c r="O96" s="68">
        <f t="shared" si="41"/>
        <v>-54.438655893217131</v>
      </c>
      <c r="P96" s="69">
        <f t="shared" si="30"/>
        <v>-0.42535392542187878</v>
      </c>
      <c r="Q96" s="96" t="s">
        <v>24</v>
      </c>
      <c r="R96" s="21"/>
    </row>
    <row r="97" spans="5:18">
      <c r="E97" s="64">
        <v>13</v>
      </c>
      <c r="F97" s="65">
        <v>3</v>
      </c>
      <c r="G97" s="94" t="s">
        <v>24</v>
      </c>
      <c r="H97" s="94" t="s">
        <v>24</v>
      </c>
      <c r="I97" s="94" t="s">
        <v>24</v>
      </c>
      <c r="J97" s="95" t="s">
        <v>24</v>
      </c>
      <c r="O97" s="68">
        <f t="shared" si="41"/>
        <v>-438.91408182623081</v>
      </c>
      <c r="P97" s="69">
        <f t="shared" si="30"/>
        <v>-0.25850338361962927</v>
      </c>
      <c r="Q97" s="96" t="s">
        <v>24</v>
      </c>
      <c r="R97" s="21"/>
    </row>
    <row r="98" spans="5:18">
      <c r="E98" s="64">
        <v>13</v>
      </c>
      <c r="F98" s="65">
        <v>4</v>
      </c>
      <c r="G98" s="94" t="s">
        <v>24</v>
      </c>
      <c r="H98" s="94" t="s">
        <v>24</v>
      </c>
      <c r="I98" s="94" t="s">
        <v>24</v>
      </c>
      <c r="J98" s="95" t="s">
        <v>24</v>
      </c>
      <c r="O98" s="68">
        <f t="shared" si="41"/>
        <v>5049.9395748383977</v>
      </c>
      <c r="P98" s="69">
        <f t="shared" si="30"/>
        <v>0.2281121607373707</v>
      </c>
      <c r="Q98" s="96" t="s">
        <v>24</v>
      </c>
      <c r="R98" s="21"/>
    </row>
    <row r="99" spans="5:18">
      <c r="E99" s="64">
        <v>13</v>
      </c>
      <c r="F99" s="65">
        <v>5</v>
      </c>
      <c r="G99" s="94" t="s">
        <v>24</v>
      </c>
      <c r="H99" s="94" t="s">
        <v>24</v>
      </c>
      <c r="I99" s="94" t="s">
        <v>24</v>
      </c>
      <c r="J99" s="95" t="s">
        <v>24</v>
      </c>
      <c r="O99" s="68">
        <f t="shared" si="41"/>
        <v>144128.18969468679</v>
      </c>
      <c r="P99" s="69">
        <f t="shared" si="30"/>
        <v>0.51150947306731742</v>
      </c>
      <c r="Q99" s="96" t="s">
        <v>24</v>
      </c>
      <c r="R99" s="21"/>
    </row>
    <row r="100" spans="5:18">
      <c r="E100" s="64">
        <v>13</v>
      </c>
      <c r="F100" s="65">
        <v>6</v>
      </c>
      <c r="G100" s="94" t="s">
        <v>24</v>
      </c>
      <c r="H100" s="94" t="s">
        <v>24</v>
      </c>
      <c r="I100" s="94" t="s">
        <v>24</v>
      </c>
      <c r="J100" s="95" t="s">
        <v>24</v>
      </c>
      <c r="O100" s="68">
        <f t="shared" si="41"/>
        <v>1661828.9217000979</v>
      </c>
      <c r="P100" s="69">
        <f t="shared" ref="P100:P106" si="42">IF(F100=0,O100,SQRT(2*FACT(E100-F100)/FACT(E100+F100))*O100)</f>
        <v>0.47837587368100104</v>
      </c>
      <c r="Q100" s="96" t="s">
        <v>24</v>
      </c>
      <c r="R100" s="21"/>
    </row>
    <row r="101" spans="5:18">
      <c r="E101" s="64">
        <v>13</v>
      </c>
      <c r="F101" s="65">
        <v>7</v>
      </c>
      <c r="G101" s="94" t="s">
        <v>24</v>
      </c>
      <c r="H101" s="94" t="s">
        <v>24</v>
      </c>
      <c r="I101" s="94" t="s">
        <v>24</v>
      </c>
      <c r="J101" s="95" t="s">
        <v>24</v>
      </c>
      <c r="O101" s="68">
        <f t="shared" si="41"/>
        <v>12405314.186233049</v>
      </c>
      <c r="P101" s="69">
        <f t="shared" si="42"/>
        <v>0.30180519122518912</v>
      </c>
      <c r="Q101" s="96" t="s">
        <v>24</v>
      </c>
      <c r="R101" s="21"/>
    </row>
    <row r="102" spans="5:18">
      <c r="E102" s="64">
        <v>13</v>
      </c>
      <c r="F102" s="65">
        <v>8</v>
      </c>
      <c r="G102" s="94" t="s">
        <v>24</v>
      </c>
      <c r="H102" s="94" t="s">
        <v>24</v>
      </c>
      <c r="I102" s="94" t="s">
        <v>24</v>
      </c>
      <c r="J102" s="95" t="s">
        <v>24</v>
      </c>
      <c r="O102" s="68">
        <f t="shared" si="41"/>
        <v>66174086.066164657</v>
      </c>
      <c r="P102" s="69">
        <f t="shared" si="42"/>
        <v>0.14342392948641708</v>
      </c>
      <c r="Q102" s="96" t="s">
        <v>24</v>
      </c>
      <c r="R102" s="21"/>
    </row>
    <row r="103" spans="5:18">
      <c r="E103" s="64">
        <v>13</v>
      </c>
      <c r="F103" s="65">
        <v>9</v>
      </c>
      <c r="G103" s="94" t="s">
        <v>24</v>
      </c>
      <c r="H103" s="94" t="s">
        <v>24</v>
      </c>
      <c r="I103" s="94" t="s">
        <v>24</v>
      </c>
      <c r="J103" s="95" t="s">
        <v>24</v>
      </c>
      <c r="O103" s="68">
        <f t="shared" si="41"/>
        <v>258712896.36659098</v>
      </c>
      <c r="P103" s="69">
        <f t="shared" si="42"/>
        <v>5.3463255512928097E-2</v>
      </c>
      <c r="Q103" s="96" t="s">
        <v>24</v>
      </c>
      <c r="R103" s="21"/>
    </row>
    <row r="104" spans="5:18">
      <c r="E104" s="64">
        <v>13</v>
      </c>
      <c r="F104" s="65">
        <v>10</v>
      </c>
      <c r="G104" s="94" t="s">
        <v>24</v>
      </c>
      <c r="H104" s="94" t="s">
        <v>24</v>
      </c>
      <c r="I104" s="94" t="s">
        <v>24</v>
      </c>
      <c r="J104" s="95" t="s">
        <v>24</v>
      </c>
      <c r="O104" s="68">
        <f t="shared" si="41"/>
        <v>733555842.76864529</v>
      </c>
      <c r="P104" s="69">
        <f t="shared" si="42"/>
        <v>1.5804348197903346E-2</v>
      </c>
      <c r="Q104" s="96" t="s">
        <v>24</v>
      </c>
      <c r="R104" s="21"/>
    </row>
    <row r="105" spans="5:18">
      <c r="E105" s="64">
        <v>13</v>
      </c>
      <c r="F105" s="65">
        <v>11</v>
      </c>
      <c r="G105" s="94" t="s">
        <v>24</v>
      </c>
      <c r="H105" s="94" t="s">
        <v>24</v>
      </c>
      <c r="I105" s="94" t="s">
        <v>24</v>
      </c>
      <c r="J105" s="95" t="s">
        <v>24</v>
      </c>
      <c r="O105" s="68">
        <f t="shared" si="41"/>
        <v>1442041076.2603121</v>
      </c>
      <c r="P105" s="69">
        <f t="shared" si="42"/>
        <v>3.6614641979834071E-3</v>
      </c>
      <c r="Q105" s="96" t="s">
        <v>24</v>
      </c>
      <c r="R105" s="21"/>
    </row>
    <row r="106" spans="5:18" ht="15.75" thickBot="1">
      <c r="E106" s="97">
        <v>13</v>
      </c>
      <c r="F106" s="98">
        <v>12</v>
      </c>
      <c r="G106" s="99" t="s">
        <v>24</v>
      </c>
      <c r="H106" s="99" t="s">
        <v>24</v>
      </c>
      <c r="I106" s="99" t="s">
        <v>24</v>
      </c>
      <c r="J106" s="100" t="s">
        <v>24</v>
      </c>
      <c r="O106" s="101">
        <f>(SIN($C$17)*(2*E106-1)*O93/(E106-F106))</f>
        <v>1770938182.8010614</v>
      </c>
      <c r="P106" s="102">
        <f t="shared" si="42"/>
        <v>6.3590986184759181E-4</v>
      </c>
      <c r="Q106" s="103" t="s">
        <v>24</v>
      </c>
      <c r="R106" s="21"/>
    </row>
  </sheetData>
  <sheetProtection sheet="1" objects="1" scenarios="1" selectLockedCells="1"/>
  <mergeCells count="12">
    <mergeCell ref="B54:C54"/>
    <mergeCell ref="B43:C43"/>
    <mergeCell ref="S2:U2"/>
    <mergeCell ref="W2:Y2"/>
    <mergeCell ref="B31:C31"/>
    <mergeCell ref="E2:I2"/>
    <mergeCell ref="L2:M2"/>
    <mergeCell ref="O2:Q2"/>
    <mergeCell ref="B25:C25"/>
    <mergeCell ref="B2:C2"/>
    <mergeCell ref="B9:C9"/>
    <mergeCell ref="B16:C16"/>
  </mergeCells>
  <pageMargins left="0.7" right="0.7" top="0.75" bottom="0.75" header="0.3" footer="0.3"/>
  <pageSetup orientation="portrait" r:id="rId1"/>
  <ignoredErrors>
    <ignoredError sqref="C12 C39 C5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AK13"/>
  <sheetViews>
    <sheetView tabSelected="1" workbookViewId="0">
      <selection activeCell="A14" sqref="A14"/>
    </sheetView>
  </sheetViews>
  <sheetFormatPr baseColWidth="10" defaultRowHeight="15"/>
  <sheetData>
    <row r="1" spans="1:37">
      <c r="A1">
        <v>47</v>
      </c>
      <c r="B1">
        <v>46</v>
      </c>
      <c r="C1">
        <v>44</v>
      </c>
      <c r="D1">
        <v>43</v>
      </c>
      <c r="E1">
        <v>42</v>
      </c>
      <c r="F1">
        <v>40</v>
      </c>
      <c r="G1">
        <v>39</v>
      </c>
      <c r="H1">
        <v>36</v>
      </c>
      <c r="I1">
        <v>33</v>
      </c>
      <c r="J1">
        <v>28</v>
      </c>
      <c r="K1">
        <v>23</v>
      </c>
      <c r="L1">
        <v>16</v>
      </c>
      <c r="M1">
        <v>10</v>
      </c>
      <c r="N1">
        <v>4</v>
      </c>
      <c r="O1">
        <v>-1</v>
      </c>
      <c r="P1">
        <v>-6</v>
      </c>
      <c r="Q1">
        <v>-10</v>
      </c>
      <c r="R1">
        <v>-15</v>
      </c>
      <c r="S1">
        <v>-20</v>
      </c>
      <c r="T1">
        <v>-27</v>
      </c>
      <c r="U1">
        <v>-34</v>
      </c>
      <c r="V1">
        <v>-41</v>
      </c>
      <c r="W1">
        <v>-48</v>
      </c>
      <c r="X1">
        <v>-55</v>
      </c>
      <c r="Y1">
        <v>-61</v>
      </c>
      <c r="Z1">
        <v>-66</v>
      </c>
      <c r="AA1">
        <v>-71</v>
      </c>
      <c r="AB1">
        <v>-73</v>
      </c>
      <c r="AC1">
        <v>-74</v>
      </c>
      <c r="AD1">
        <v>-71</v>
      </c>
      <c r="AE1">
        <v>-60</v>
      </c>
      <c r="AF1">
        <v>-22</v>
      </c>
      <c r="AG1">
        <v>24</v>
      </c>
      <c r="AH1">
        <v>41</v>
      </c>
      <c r="AI1">
        <v>46</v>
      </c>
      <c r="AJ1">
        <v>47</v>
      </c>
      <c r="AK1">
        <v>47</v>
      </c>
    </row>
    <row r="2" spans="1:37">
      <c r="A2">
        <v>30</v>
      </c>
      <c r="B2">
        <v>31</v>
      </c>
      <c r="C2">
        <v>31</v>
      </c>
      <c r="D2">
        <v>30</v>
      </c>
      <c r="E2">
        <v>30</v>
      </c>
      <c r="F2">
        <v>30</v>
      </c>
      <c r="G2">
        <v>30</v>
      </c>
      <c r="H2">
        <v>29</v>
      </c>
      <c r="I2">
        <v>27</v>
      </c>
      <c r="J2">
        <v>23</v>
      </c>
      <c r="K2">
        <v>18</v>
      </c>
      <c r="L2">
        <v>11</v>
      </c>
      <c r="M2">
        <v>3</v>
      </c>
      <c r="N2">
        <v>-4</v>
      </c>
      <c r="O2">
        <v>-9</v>
      </c>
      <c r="P2">
        <v>-13</v>
      </c>
      <c r="Q2">
        <v>-15</v>
      </c>
      <c r="R2">
        <v>-18</v>
      </c>
      <c r="S2">
        <v>-21</v>
      </c>
      <c r="T2">
        <v>-26</v>
      </c>
      <c r="U2">
        <v>-33</v>
      </c>
      <c r="V2">
        <v>-39</v>
      </c>
      <c r="W2">
        <v>-46</v>
      </c>
      <c r="X2">
        <v>-51</v>
      </c>
      <c r="Y2">
        <v>-54</v>
      </c>
      <c r="Z2">
        <v>-56</v>
      </c>
      <c r="AA2">
        <v>-55</v>
      </c>
      <c r="AB2">
        <v>-52</v>
      </c>
      <c r="AC2">
        <v>-43</v>
      </c>
      <c r="AD2">
        <v>-30</v>
      </c>
      <c r="AE2">
        <v>-14</v>
      </c>
      <c r="AF2">
        <v>1</v>
      </c>
      <c r="AG2">
        <v>13</v>
      </c>
      <c r="AH2">
        <v>21</v>
      </c>
      <c r="AI2">
        <v>26</v>
      </c>
      <c r="AJ2">
        <v>29</v>
      </c>
      <c r="AK2">
        <v>30</v>
      </c>
    </row>
    <row r="3" spans="1:37">
      <c r="A3">
        <v>22</v>
      </c>
      <c r="B3">
        <v>22</v>
      </c>
      <c r="C3">
        <v>23</v>
      </c>
      <c r="D3">
        <v>23</v>
      </c>
      <c r="E3">
        <v>22</v>
      </c>
      <c r="F3">
        <v>22</v>
      </c>
      <c r="G3">
        <v>22</v>
      </c>
      <c r="H3">
        <v>22</v>
      </c>
      <c r="I3">
        <v>21</v>
      </c>
      <c r="J3">
        <v>18</v>
      </c>
      <c r="K3">
        <v>13</v>
      </c>
      <c r="L3">
        <v>5</v>
      </c>
      <c r="M3">
        <v>-4</v>
      </c>
      <c r="N3">
        <v>-11</v>
      </c>
      <c r="O3">
        <v>-17</v>
      </c>
      <c r="P3">
        <v>-20</v>
      </c>
      <c r="Q3">
        <v>-21</v>
      </c>
      <c r="R3">
        <v>-22</v>
      </c>
      <c r="S3">
        <v>-23</v>
      </c>
      <c r="T3">
        <v>-25</v>
      </c>
      <c r="U3">
        <v>-29</v>
      </c>
      <c r="V3">
        <v>-35</v>
      </c>
      <c r="W3">
        <v>-40</v>
      </c>
      <c r="X3">
        <v>-43</v>
      </c>
      <c r="Y3">
        <v>-44</v>
      </c>
      <c r="Z3">
        <v>-43</v>
      </c>
      <c r="AA3">
        <v>-39</v>
      </c>
      <c r="AB3">
        <v>-31</v>
      </c>
      <c r="AC3">
        <v>-21</v>
      </c>
      <c r="AD3">
        <v>-12</v>
      </c>
      <c r="AE3">
        <v>-3</v>
      </c>
      <c r="AF3">
        <v>4</v>
      </c>
      <c r="AG3">
        <v>10</v>
      </c>
      <c r="AH3">
        <v>15</v>
      </c>
      <c r="AI3">
        <v>18</v>
      </c>
      <c r="AJ3">
        <v>21</v>
      </c>
      <c r="AK3">
        <v>22</v>
      </c>
    </row>
    <row r="4" spans="1:37">
      <c r="A4">
        <v>17</v>
      </c>
      <c r="B4">
        <v>17</v>
      </c>
      <c r="C4">
        <v>17</v>
      </c>
      <c r="D4">
        <v>17</v>
      </c>
      <c r="E4">
        <v>17</v>
      </c>
      <c r="F4">
        <v>17</v>
      </c>
      <c r="G4">
        <v>17</v>
      </c>
      <c r="H4">
        <v>16</v>
      </c>
      <c r="I4">
        <v>16</v>
      </c>
      <c r="J4">
        <v>13</v>
      </c>
      <c r="K4">
        <v>8</v>
      </c>
      <c r="L4">
        <v>0</v>
      </c>
      <c r="M4">
        <v>-9</v>
      </c>
      <c r="N4">
        <v>-17</v>
      </c>
      <c r="O4">
        <v>-21</v>
      </c>
      <c r="P4">
        <v>-24</v>
      </c>
      <c r="Q4">
        <v>-25</v>
      </c>
      <c r="R4">
        <v>-24</v>
      </c>
      <c r="S4">
        <v>-22</v>
      </c>
      <c r="T4">
        <v>-20</v>
      </c>
      <c r="U4">
        <v>-21</v>
      </c>
      <c r="V4">
        <v>-24</v>
      </c>
      <c r="W4">
        <v>-28</v>
      </c>
      <c r="X4">
        <v>-31</v>
      </c>
      <c r="Y4">
        <v>-31</v>
      </c>
      <c r="Z4">
        <v>-28</v>
      </c>
      <c r="AA4">
        <v>-23</v>
      </c>
      <c r="AB4">
        <v>-16</v>
      </c>
      <c r="AC4">
        <v>-9</v>
      </c>
      <c r="AD4">
        <v>-4</v>
      </c>
      <c r="AE4">
        <v>1</v>
      </c>
      <c r="AF4">
        <v>4</v>
      </c>
      <c r="AG4">
        <v>7</v>
      </c>
      <c r="AH4">
        <v>11</v>
      </c>
      <c r="AI4">
        <v>14</v>
      </c>
      <c r="AJ4">
        <v>15</v>
      </c>
      <c r="AK4">
        <v>17</v>
      </c>
    </row>
    <row r="5" spans="1:37">
      <c r="A5">
        <v>13</v>
      </c>
      <c r="B5">
        <v>13</v>
      </c>
      <c r="C5">
        <v>13</v>
      </c>
      <c r="D5">
        <v>14</v>
      </c>
      <c r="E5">
        <v>14</v>
      </c>
      <c r="F5">
        <v>13</v>
      </c>
      <c r="G5">
        <v>13</v>
      </c>
      <c r="H5">
        <v>12</v>
      </c>
      <c r="I5">
        <v>11</v>
      </c>
      <c r="J5">
        <v>9</v>
      </c>
      <c r="K5">
        <v>3</v>
      </c>
      <c r="L5">
        <v>-5</v>
      </c>
      <c r="M5">
        <v>-13</v>
      </c>
      <c r="N5">
        <v>-19</v>
      </c>
      <c r="O5">
        <v>-23</v>
      </c>
      <c r="P5">
        <v>-24</v>
      </c>
      <c r="Q5">
        <v>-24</v>
      </c>
      <c r="R5">
        <v>-21</v>
      </c>
      <c r="S5">
        <v>-17</v>
      </c>
      <c r="T5">
        <v>-12</v>
      </c>
      <c r="U5">
        <v>-10</v>
      </c>
      <c r="V5">
        <v>-11</v>
      </c>
      <c r="W5">
        <v>-14</v>
      </c>
      <c r="X5">
        <v>-17</v>
      </c>
      <c r="Y5">
        <v>-18</v>
      </c>
      <c r="Z5">
        <v>-16</v>
      </c>
      <c r="AA5">
        <v>-13</v>
      </c>
      <c r="AB5">
        <v>-8</v>
      </c>
      <c r="AC5">
        <v>-3</v>
      </c>
      <c r="AD5">
        <v>0</v>
      </c>
      <c r="AE5">
        <v>2</v>
      </c>
      <c r="AF5">
        <v>3</v>
      </c>
      <c r="AG5">
        <v>6</v>
      </c>
      <c r="AH5">
        <v>8</v>
      </c>
      <c r="AI5">
        <v>11</v>
      </c>
      <c r="AJ5">
        <v>12</v>
      </c>
      <c r="AK5">
        <v>13</v>
      </c>
    </row>
    <row r="6" spans="1:37">
      <c r="A6">
        <v>11</v>
      </c>
      <c r="B6">
        <v>11</v>
      </c>
      <c r="C6">
        <v>11</v>
      </c>
      <c r="D6">
        <v>11</v>
      </c>
      <c r="E6">
        <v>11</v>
      </c>
      <c r="F6">
        <v>11</v>
      </c>
      <c r="G6">
        <v>10</v>
      </c>
      <c r="H6">
        <v>10</v>
      </c>
      <c r="I6">
        <v>9</v>
      </c>
      <c r="J6">
        <v>6</v>
      </c>
      <c r="K6">
        <v>0</v>
      </c>
      <c r="L6">
        <v>-7</v>
      </c>
      <c r="M6">
        <v>-15</v>
      </c>
      <c r="N6">
        <v>-20</v>
      </c>
      <c r="O6">
        <v>-22</v>
      </c>
      <c r="P6">
        <v>-22</v>
      </c>
      <c r="Q6">
        <v>-19</v>
      </c>
      <c r="R6">
        <v>-15</v>
      </c>
      <c r="S6">
        <v>-10</v>
      </c>
      <c r="T6">
        <v>-6</v>
      </c>
      <c r="U6">
        <v>-3</v>
      </c>
      <c r="V6">
        <v>-2</v>
      </c>
      <c r="W6">
        <v>-4</v>
      </c>
      <c r="X6">
        <v>-7</v>
      </c>
      <c r="Y6">
        <v>-9</v>
      </c>
      <c r="Z6">
        <v>-9</v>
      </c>
      <c r="AA6">
        <v>-7</v>
      </c>
      <c r="AB6">
        <v>-4</v>
      </c>
      <c r="AC6">
        <v>-1</v>
      </c>
      <c r="AD6">
        <v>1</v>
      </c>
      <c r="AE6">
        <v>1</v>
      </c>
      <c r="AF6">
        <v>3</v>
      </c>
      <c r="AG6">
        <v>4</v>
      </c>
      <c r="AH6">
        <v>7</v>
      </c>
      <c r="AI6">
        <v>9</v>
      </c>
      <c r="AJ6">
        <v>10</v>
      </c>
      <c r="AK6">
        <v>11</v>
      </c>
    </row>
    <row r="7" spans="1:37">
      <c r="A7">
        <v>10</v>
      </c>
      <c r="B7">
        <v>9</v>
      </c>
      <c r="C7">
        <v>9</v>
      </c>
      <c r="D7">
        <v>9</v>
      </c>
      <c r="E7">
        <v>9</v>
      </c>
      <c r="F7">
        <v>9</v>
      </c>
      <c r="G7">
        <v>9</v>
      </c>
      <c r="H7">
        <v>8</v>
      </c>
      <c r="I7">
        <v>7</v>
      </c>
      <c r="J7">
        <v>4</v>
      </c>
      <c r="K7">
        <v>-2</v>
      </c>
      <c r="L7">
        <v>-9</v>
      </c>
      <c r="M7">
        <v>-15</v>
      </c>
      <c r="N7">
        <v>-19</v>
      </c>
      <c r="O7">
        <v>-20</v>
      </c>
      <c r="P7">
        <v>-18</v>
      </c>
      <c r="Q7">
        <v>-14</v>
      </c>
      <c r="R7">
        <v>-9</v>
      </c>
      <c r="S7">
        <v>-6</v>
      </c>
      <c r="T7">
        <v>-2</v>
      </c>
      <c r="U7">
        <v>0</v>
      </c>
      <c r="V7">
        <v>1</v>
      </c>
      <c r="W7">
        <v>0</v>
      </c>
      <c r="X7">
        <v>-2</v>
      </c>
      <c r="Y7">
        <v>-4</v>
      </c>
      <c r="Z7">
        <v>-4</v>
      </c>
      <c r="AA7">
        <v>-4</v>
      </c>
      <c r="AB7">
        <v>-2</v>
      </c>
      <c r="AC7">
        <v>0</v>
      </c>
      <c r="AD7">
        <v>1</v>
      </c>
      <c r="AE7">
        <v>1</v>
      </c>
      <c r="AF7">
        <v>1</v>
      </c>
      <c r="AG7">
        <v>3</v>
      </c>
      <c r="AH7">
        <v>5</v>
      </c>
      <c r="AI7">
        <v>7</v>
      </c>
      <c r="AJ7">
        <v>9</v>
      </c>
      <c r="AK7">
        <v>10</v>
      </c>
    </row>
    <row r="8" spans="1:37">
      <c r="A8">
        <v>9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8</v>
      </c>
      <c r="I8">
        <v>6</v>
      </c>
      <c r="J8">
        <v>2</v>
      </c>
      <c r="K8">
        <v>-4</v>
      </c>
      <c r="L8">
        <v>-10</v>
      </c>
      <c r="M8">
        <v>-15</v>
      </c>
      <c r="N8">
        <v>-18</v>
      </c>
      <c r="O8">
        <v>-17</v>
      </c>
      <c r="P8">
        <v>-14</v>
      </c>
      <c r="Q8">
        <v>-10</v>
      </c>
      <c r="R8">
        <v>-6</v>
      </c>
      <c r="S8">
        <v>-3</v>
      </c>
      <c r="T8">
        <v>-1</v>
      </c>
      <c r="U8">
        <v>1</v>
      </c>
      <c r="V8">
        <v>2</v>
      </c>
      <c r="W8">
        <v>2</v>
      </c>
      <c r="X8">
        <v>0</v>
      </c>
      <c r="Y8">
        <v>-1</v>
      </c>
      <c r="Z8">
        <v>-2</v>
      </c>
      <c r="AA8">
        <v>-2</v>
      </c>
      <c r="AB8">
        <v>-1</v>
      </c>
      <c r="AC8">
        <v>-1</v>
      </c>
      <c r="AD8">
        <v>0</v>
      </c>
      <c r="AE8">
        <v>-1</v>
      </c>
      <c r="AF8">
        <v>-1</v>
      </c>
      <c r="AG8">
        <v>1</v>
      </c>
      <c r="AH8">
        <v>3</v>
      </c>
      <c r="AI8">
        <v>6</v>
      </c>
      <c r="AJ8">
        <v>8</v>
      </c>
      <c r="AK8">
        <v>9</v>
      </c>
    </row>
    <row r="9" spans="1:37">
      <c r="A9">
        <v>8</v>
      </c>
      <c r="B9">
        <v>9</v>
      </c>
      <c r="C9">
        <v>9</v>
      </c>
      <c r="D9">
        <v>10</v>
      </c>
      <c r="E9">
        <v>10</v>
      </c>
      <c r="F9">
        <v>11</v>
      </c>
      <c r="G9">
        <v>10</v>
      </c>
      <c r="H9">
        <v>8</v>
      </c>
      <c r="I9">
        <v>5</v>
      </c>
      <c r="J9">
        <v>0</v>
      </c>
      <c r="K9">
        <v>-5</v>
      </c>
      <c r="L9">
        <v>-11</v>
      </c>
      <c r="M9">
        <v>-15</v>
      </c>
      <c r="N9">
        <v>-16</v>
      </c>
      <c r="O9">
        <v>-15</v>
      </c>
      <c r="P9">
        <v>-12</v>
      </c>
      <c r="Q9">
        <v>-8</v>
      </c>
      <c r="R9">
        <v>-4</v>
      </c>
      <c r="S9">
        <v>-1</v>
      </c>
      <c r="T9">
        <v>1</v>
      </c>
      <c r="U9">
        <v>2</v>
      </c>
      <c r="V9">
        <v>3</v>
      </c>
      <c r="W9">
        <v>3</v>
      </c>
      <c r="X9">
        <v>2</v>
      </c>
      <c r="Y9">
        <v>1</v>
      </c>
      <c r="Z9">
        <v>0</v>
      </c>
      <c r="AA9">
        <v>0</v>
      </c>
      <c r="AB9">
        <v>-1</v>
      </c>
      <c r="AC9">
        <v>-1</v>
      </c>
      <c r="AD9">
        <v>-2</v>
      </c>
      <c r="AE9">
        <v>-3</v>
      </c>
      <c r="AF9">
        <v>-3</v>
      </c>
      <c r="AG9">
        <v>-2</v>
      </c>
      <c r="AH9">
        <v>0</v>
      </c>
      <c r="AI9">
        <v>3</v>
      </c>
      <c r="AJ9">
        <v>6</v>
      </c>
      <c r="AK9">
        <v>8</v>
      </c>
    </row>
    <row r="10" spans="1:37">
      <c r="A10">
        <v>7</v>
      </c>
      <c r="B10">
        <v>9</v>
      </c>
      <c r="C10">
        <v>10</v>
      </c>
      <c r="D10">
        <v>12</v>
      </c>
      <c r="E10">
        <v>12</v>
      </c>
      <c r="F10">
        <v>13</v>
      </c>
      <c r="G10">
        <v>12</v>
      </c>
      <c r="H10">
        <v>9</v>
      </c>
      <c r="I10">
        <v>5</v>
      </c>
      <c r="J10">
        <v>-1</v>
      </c>
      <c r="K10">
        <v>-7</v>
      </c>
      <c r="L10">
        <v>-12</v>
      </c>
      <c r="M10">
        <v>-15</v>
      </c>
      <c r="N10">
        <v>-16</v>
      </c>
      <c r="O10">
        <v>-14</v>
      </c>
      <c r="P10">
        <v>-10</v>
      </c>
      <c r="Q10">
        <v>-7</v>
      </c>
      <c r="R10">
        <v>-3</v>
      </c>
      <c r="S10">
        <v>0</v>
      </c>
      <c r="T10">
        <v>2</v>
      </c>
      <c r="U10">
        <v>3</v>
      </c>
      <c r="V10">
        <v>4</v>
      </c>
      <c r="W10">
        <v>4</v>
      </c>
      <c r="X10">
        <v>3</v>
      </c>
      <c r="Y10">
        <v>2</v>
      </c>
      <c r="Z10">
        <v>2</v>
      </c>
      <c r="AA10">
        <v>1</v>
      </c>
      <c r="AB10">
        <v>0</v>
      </c>
      <c r="AC10">
        <v>-1</v>
      </c>
      <c r="AD10">
        <v>-3</v>
      </c>
      <c r="AE10">
        <v>-5</v>
      </c>
      <c r="AF10">
        <v>-6</v>
      </c>
      <c r="AG10">
        <v>-5</v>
      </c>
      <c r="AH10">
        <v>-3</v>
      </c>
      <c r="AI10">
        <v>0</v>
      </c>
      <c r="AJ10">
        <v>4</v>
      </c>
      <c r="AK10">
        <v>7</v>
      </c>
    </row>
    <row r="11" spans="1:37">
      <c r="A11">
        <v>5</v>
      </c>
      <c r="B11">
        <v>8</v>
      </c>
      <c r="C11">
        <v>11</v>
      </c>
      <c r="D11">
        <v>13</v>
      </c>
      <c r="E11">
        <v>15</v>
      </c>
      <c r="F11">
        <v>15</v>
      </c>
      <c r="G11">
        <v>14</v>
      </c>
      <c r="H11">
        <v>11</v>
      </c>
      <c r="I11">
        <v>5</v>
      </c>
      <c r="J11">
        <v>-2</v>
      </c>
      <c r="K11">
        <v>-9</v>
      </c>
      <c r="L11">
        <v>-14</v>
      </c>
      <c r="M11">
        <v>-17</v>
      </c>
      <c r="N11">
        <v>-16</v>
      </c>
      <c r="O11">
        <v>-14</v>
      </c>
      <c r="P11">
        <v>-11</v>
      </c>
      <c r="Q11">
        <v>-7</v>
      </c>
      <c r="R11">
        <v>-3</v>
      </c>
      <c r="S11">
        <v>0</v>
      </c>
      <c r="T11">
        <v>2</v>
      </c>
      <c r="U11">
        <v>4</v>
      </c>
      <c r="V11">
        <v>5</v>
      </c>
      <c r="W11">
        <v>6</v>
      </c>
      <c r="X11">
        <v>6</v>
      </c>
      <c r="Y11">
        <v>5</v>
      </c>
      <c r="Z11">
        <v>4</v>
      </c>
      <c r="AA11">
        <v>3</v>
      </c>
      <c r="AB11">
        <v>1</v>
      </c>
      <c r="AC11">
        <v>-1</v>
      </c>
      <c r="AD11">
        <v>-5</v>
      </c>
      <c r="AE11">
        <v>-7</v>
      </c>
      <c r="AF11">
        <v>-9</v>
      </c>
      <c r="AG11">
        <v>-8</v>
      </c>
      <c r="AH11">
        <v>-6</v>
      </c>
      <c r="AI11">
        <v>-3</v>
      </c>
      <c r="AJ11">
        <v>1</v>
      </c>
      <c r="AK11">
        <v>5</v>
      </c>
    </row>
    <row r="12" spans="1:37">
      <c r="A12">
        <v>4</v>
      </c>
      <c r="B12">
        <v>8</v>
      </c>
      <c r="C12">
        <v>12</v>
      </c>
      <c r="D12">
        <v>15</v>
      </c>
      <c r="E12">
        <v>17</v>
      </c>
      <c r="F12">
        <v>17</v>
      </c>
      <c r="G12">
        <v>16</v>
      </c>
      <c r="H12">
        <v>12</v>
      </c>
      <c r="I12">
        <v>5</v>
      </c>
      <c r="J12">
        <v>-3</v>
      </c>
      <c r="K12">
        <v>-12</v>
      </c>
      <c r="L12">
        <v>-18</v>
      </c>
      <c r="M12">
        <v>-20</v>
      </c>
      <c r="N12">
        <v>-19</v>
      </c>
      <c r="O12">
        <v>-16</v>
      </c>
      <c r="P12">
        <v>-12</v>
      </c>
      <c r="Q12">
        <v>-8</v>
      </c>
      <c r="R12">
        <v>-4</v>
      </c>
      <c r="S12">
        <v>-1</v>
      </c>
      <c r="T12">
        <v>2</v>
      </c>
      <c r="U12">
        <v>5</v>
      </c>
      <c r="V12">
        <v>7</v>
      </c>
      <c r="W12">
        <v>8</v>
      </c>
      <c r="X12">
        <v>10</v>
      </c>
      <c r="Y12">
        <v>10</v>
      </c>
      <c r="Z12">
        <v>9</v>
      </c>
      <c r="AA12">
        <v>7</v>
      </c>
      <c r="AB12">
        <v>3</v>
      </c>
      <c r="AC12">
        <v>-1</v>
      </c>
      <c r="AD12">
        <v>-6</v>
      </c>
      <c r="AE12">
        <v>-10</v>
      </c>
      <c r="AF12">
        <v>-12</v>
      </c>
      <c r="AG12">
        <v>-11</v>
      </c>
      <c r="AH12">
        <v>-9</v>
      </c>
      <c r="AI12">
        <v>-5</v>
      </c>
      <c r="AJ12">
        <v>-1</v>
      </c>
      <c r="AK12">
        <v>4</v>
      </c>
    </row>
    <row r="13" spans="1:37">
      <c r="A13">
        <v>3</v>
      </c>
      <c r="B13">
        <v>8</v>
      </c>
      <c r="C13">
        <v>13</v>
      </c>
      <c r="D13">
        <v>17</v>
      </c>
      <c r="E13">
        <v>19</v>
      </c>
      <c r="F13">
        <v>20</v>
      </c>
      <c r="G13">
        <v>19</v>
      </c>
      <c r="H13">
        <v>14</v>
      </c>
      <c r="I13">
        <v>4</v>
      </c>
      <c r="J13">
        <v>-7</v>
      </c>
      <c r="K13">
        <v>-18</v>
      </c>
      <c r="L13">
        <v>-24</v>
      </c>
      <c r="M13">
        <v>-25</v>
      </c>
      <c r="N13">
        <v>-24</v>
      </c>
      <c r="O13">
        <v>-21</v>
      </c>
      <c r="P13">
        <v>-16</v>
      </c>
      <c r="Q13">
        <v>-12</v>
      </c>
      <c r="R13">
        <v>-7</v>
      </c>
      <c r="S13">
        <v>-2</v>
      </c>
      <c r="T13">
        <v>2</v>
      </c>
      <c r="U13">
        <v>6</v>
      </c>
      <c r="V13">
        <v>10</v>
      </c>
      <c r="W13">
        <v>13</v>
      </c>
      <c r="X13">
        <v>15</v>
      </c>
      <c r="Y13">
        <v>16</v>
      </c>
      <c r="Z13">
        <v>15</v>
      </c>
      <c r="AA13">
        <v>12</v>
      </c>
      <c r="AB13">
        <v>7</v>
      </c>
      <c r="AC13">
        <v>0</v>
      </c>
      <c r="AD13">
        <v>-7</v>
      </c>
      <c r="AE13">
        <v>-12</v>
      </c>
      <c r="AF13">
        <v>-14</v>
      </c>
      <c r="AG13">
        <v>-13</v>
      </c>
      <c r="AH13">
        <v>-11</v>
      </c>
      <c r="AI13">
        <v>-6</v>
      </c>
      <c r="AJ13">
        <v>-2</v>
      </c>
      <c r="AK13">
        <v>3</v>
      </c>
    </row>
  </sheetData>
  <dataConsolidate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Magnetic Field Calculator</vt:lpstr>
      <vt:lpstr>Coordinate Converter</vt:lpstr>
      <vt:lpstr>WMM2015 Calculations</vt:lpstr>
      <vt:lpstr>Compute</vt:lpstr>
      <vt:lpstr>'Magnetic Field Calculator'!Zone_d_impression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World Magnetic Model Calculator</dc:title>
  <dc:creator>Noah Hassler</dc:creator>
  <cp:lastModifiedBy>gdarier</cp:lastModifiedBy>
  <cp:lastPrinted>2015-04-05T23:02:38Z</cp:lastPrinted>
  <dcterms:created xsi:type="dcterms:W3CDTF">2012-04-10T03:04:43Z</dcterms:created>
  <dcterms:modified xsi:type="dcterms:W3CDTF">2015-05-15T10:15:53Z</dcterms:modified>
</cp:coreProperties>
</file>